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3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4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5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6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7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laghaninnovationgovtnz-my.sharepoint.com/personal/keith_jones_callaghaninnovation_govt_nz/Documents/KJ/PycharmProjects/CapacitanceScale/"/>
    </mc:Choice>
  </mc:AlternateContent>
  <xr:revisionPtr revIDLastSave="361" documentId="8_{94DDC3C1-F777-4C57-BE64-BE5D48C8AE3A}" xr6:coauthVersionLast="47" xr6:coauthVersionMax="47" xr10:uidLastSave="{EB8969E7-12A1-427D-9851-136F54A4F8F5}"/>
  <bookViews>
    <workbookView xWindow="-23820" yWindow="1125" windowWidth="21600" windowHeight="11775" tabRatio="835" firstSheet="21" activeTab="28" xr2:uid="{00000000-000D-0000-FFFF-FFFF00000000}"/>
  </bookViews>
  <sheets>
    <sheet name="AH2700A2022-04-07" sheetId="1" r:id="rId1"/>
    <sheet name="AH2700A2022-04-11" sheetId="2" r:id="rId2"/>
    <sheet name="AH2700A2022-05-30" sheetId="4" r:id="rId3"/>
    <sheet name="AH2700A2022-05-31" sheetId="5" r:id="rId4"/>
    <sheet name="AH2700A2022-06-02" sheetId="6" r:id="rId5"/>
    <sheet name="AH2700A2022-06-20" sheetId="7" r:id="rId6"/>
    <sheet name="AH2700A2022-06-21WZP" sheetId="8" r:id="rId7"/>
    <sheet name="AH2700A2022-06-21" sheetId="9" r:id="rId8"/>
    <sheet name="AH2700A2022-07-04" sheetId="10" r:id="rId9"/>
    <sheet name="AH2700A2022-07-11" sheetId="11" r:id="rId10"/>
    <sheet name="AH2700A2022-07-25" sheetId="12" r:id="rId11"/>
    <sheet name="AH2700A2022-08-01" sheetId="13" r:id="rId12"/>
    <sheet name="AH2700A2022-09-23" sheetId="14" r:id="rId13"/>
    <sheet name="AH2700A2022-10-25" sheetId="15" r:id="rId14"/>
    <sheet name="AH2700A2022-11-11" sheetId="16" r:id="rId15"/>
    <sheet name="AH2700A2023-01-16" sheetId="18" r:id="rId16"/>
    <sheet name="AH2700A2023-3-28" sheetId="19" r:id="rId17"/>
    <sheet name="AH2700A2023-5-08" sheetId="22" r:id="rId18"/>
    <sheet name="AH2700A2023-5-16" sheetId="23" r:id="rId19"/>
    <sheet name="AH2700A2023-5-17" sheetId="24" r:id="rId20"/>
    <sheet name="AH2700A2023-5-23" sheetId="25" r:id="rId21"/>
    <sheet name="AH2700A2023-9-29" sheetId="26" r:id="rId22"/>
    <sheet name="AH2700A2023-10-02" sheetId="27" r:id="rId23"/>
    <sheet name="AH2700A2023-12-18" sheetId="28" r:id="rId24"/>
    <sheet name="AH2700A2024-7-25" sheetId="29" r:id="rId25"/>
    <sheet name="Sheet1" sheetId="31" r:id="rId26"/>
    <sheet name="Checks" sheetId="3" r:id="rId27"/>
    <sheet name="Summary" sheetId="20" r:id="rId28"/>
    <sheet name="Conditions" sheetId="30" r:id="rId29"/>
    <sheet name="KJ notes" sheetId="21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31" l="1"/>
  <c r="L30" i="31" s="1"/>
  <c r="J30" i="31"/>
  <c r="N30" i="31" s="1"/>
  <c r="O30" i="31" s="1"/>
  <c r="N29" i="31"/>
  <c r="O29" i="31" s="1"/>
  <c r="K29" i="31"/>
  <c r="J29" i="31"/>
  <c r="L29" i="31" s="1"/>
  <c r="L28" i="31"/>
  <c r="K28" i="31"/>
  <c r="J28" i="31"/>
  <c r="N28" i="31" s="1"/>
  <c r="O28" i="31" s="1"/>
  <c r="L27" i="31"/>
  <c r="K27" i="31"/>
  <c r="J27" i="31"/>
  <c r="N27" i="31" s="1"/>
  <c r="O27" i="31" s="1"/>
  <c r="K26" i="31"/>
  <c r="L26" i="31" s="1"/>
  <c r="J26" i="31"/>
  <c r="N26" i="31" s="1"/>
  <c r="O26" i="31" s="1"/>
  <c r="L25" i="31"/>
  <c r="K25" i="31"/>
  <c r="J25" i="31"/>
  <c r="N25" i="31" s="1"/>
  <c r="O25" i="31" s="1"/>
  <c r="K24" i="31"/>
  <c r="L24" i="31" s="1"/>
  <c r="J24" i="31"/>
  <c r="N24" i="31" s="1"/>
  <c r="O24" i="31" s="1"/>
  <c r="K23" i="31"/>
  <c r="J23" i="31"/>
  <c r="L23" i="31" s="1"/>
  <c r="N22" i="31"/>
  <c r="O22" i="31" s="1"/>
  <c r="K22" i="31"/>
  <c r="L22" i="31" s="1"/>
  <c r="J22" i="31"/>
  <c r="N21" i="31"/>
  <c r="O21" i="31" s="1"/>
  <c r="K21" i="31"/>
  <c r="L21" i="31" s="1"/>
  <c r="J21" i="31"/>
  <c r="N20" i="31"/>
  <c r="O20" i="31" s="1"/>
  <c r="K20" i="31"/>
  <c r="L20" i="31" s="1"/>
  <c r="J20" i="31"/>
  <c r="K19" i="31"/>
  <c r="L19" i="31" s="1"/>
  <c r="J19" i="31"/>
  <c r="N19" i="31" s="1"/>
  <c r="O19" i="31" s="1"/>
  <c r="N18" i="31"/>
  <c r="K18" i="31"/>
  <c r="L18" i="31" s="1"/>
  <c r="J18" i="31"/>
  <c r="K17" i="31"/>
  <c r="L17" i="31" s="1"/>
  <c r="J17" i="31"/>
  <c r="N17" i="31" s="1"/>
  <c r="O17" i="31" s="1"/>
  <c r="N16" i="31"/>
  <c r="O16" i="31" s="1"/>
  <c r="L16" i="31"/>
  <c r="K16" i="31"/>
  <c r="J16" i="31"/>
  <c r="O15" i="31"/>
  <c r="N15" i="31"/>
  <c r="L15" i="31"/>
  <c r="K15" i="31"/>
  <c r="J15" i="31"/>
  <c r="K14" i="31"/>
  <c r="L14" i="31" s="1"/>
  <c r="J14" i="31"/>
  <c r="N14" i="31" s="1"/>
  <c r="O14" i="31" s="1"/>
  <c r="L13" i="31"/>
  <c r="K13" i="31"/>
  <c r="J13" i="31"/>
  <c r="N13" i="31" s="1"/>
  <c r="O13" i="31" s="1"/>
  <c r="K12" i="31"/>
  <c r="L12" i="31" s="1"/>
  <c r="J12" i="31"/>
  <c r="N12" i="31" s="1"/>
  <c r="O12" i="31" s="1"/>
  <c r="K11" i="31"/>
  <c r="J11" i="31"/>
  <c r="L11" i="31" s="1"/>
  <c r="N10" i="31"/>
  <c r="O10" i="31" s="1"/>
  <c r="K10" i="31"/>
  <c r="L10" i="31" s="1"/>
  <c r="J10" i="31"/>
  <c r="K9" i="31"/>
  <c r="L9" i="31" s="1"/>
  <c r="J9" i="31"/>
  <c r="N9" i="31" s="1"/>
  <c r="O9" i="31" s="1"/>
  <c r="N8" i="31"/>
  <c r="O8" i="31" s="1"/>
  <c r="K8" i="31"/>
  <c r="L8" i="31" s="1"/>
  <c r="J8" i="31"/>
  <c r="K7" i="31"/>
  <c r="L7" i="31" s="1"/>
  <c r="J7" i="31"/>
  <c r="N7" i="31" s="1"/>
  <c r="O7" i="31" s="1"/>
  <c r="N6" i="31"/>
  <c r="K6" i="31"/>
  <c r="L6" i="31" s="1"/>
  <c r="J6" i="31"/>
  <c r="K5" i="31"/>
  <c r="L5" i="31" s="1"/>
  <c r="J5" i="31"/>
  <c r="N5" i="31" s="1"/>
  <c r="O5" i="31" s="1"/>
  <c r="N4" i="31"/>
  <c r="O4" i="31" s="1"/>
  <c r="L4" i="31"/>
  <c r="K4" i="31"/>
  <c r="J4" i="31"/>
  <c r="K3" i="31"/>
  <c r="J3" i="31"/>
  <c r="P1" i="31"/>
  <c r="O18" i="31" s="1"/>
  <c r="O6" i="31" l="1"/>
  <c r="N11" i="31"/>
  <c r="O11" i="31" s="1"/>
  <c r="N23" i="31"/>
  <c r="O23" i="31" s="1"/>
  <c r="Q35" i="20" l="1"/>
  <c r="Q34" i="20"/>
  <c r="Q2" i="20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1" i="20"/>
  <c r="Y5" i="3"/>
  <c r="Y6" i="3"/>
  <c r="Y7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8" i="3"/>
  <c r="K30" i="29"/>
  <c r="L30" i="29" s="1"/>
  <c r="J30" i="29"/>
  <c r="N30" i="29" s="1"/>
  <c r="K29" i="29"/>
  <c r="L29" i="29" s="1"/>
  <c r="J29" i="29"/>
  <c r="N29" i="29" s="1"/>
  <c r="K28" i="29"/>
  <c r="J28" i="29"/>
  <c r="L28" i="29" s="1"/>
  <c r="K27" i="29"/>
  <c r="J27" i="29"/>
  <c r="L27" i="29" s="1"/>
  <c r="L26" i="29"/>
  <c r="K26" i="29"/>
  <c r="J26" i="29"/>
  <c r="N26" i="29" s="1"/>
  <c r="K25" i="29"/>
  <c r="L25" i="29" s="1"/>
  <c r="J25" i="29"/>
  <c r="N25" i="29" s="1"/>
  <c r="L24" i="29"/>
  <c r="K24" i="29"/>
  <c r="J24" i="29"/>
  <c r="N24" i="29" s="1"/>
  <c r="N23" i="29"/>
  <c r="K23" i="29"/>
  <c r="L23" i="29" s="1"/>
  <c r="J23" i="29"/>
  <c r="K22" i="29"/>
  <c r="L22" i="29" s="1"/>
  <c r="J22" i="29"/>
  <c r="N22" i="29" s="1"/>
  <c r="N21" i="29"/>
  <c r="K21" i="29"/>
  <c r="L21" i="29" s="1"/>
  <c r="J21" i="29"/>
  <c r="K20" i="29"/>
  <c r="J20" i="29"/>
  <c r="N20" i="29" s="1"/>
  <c r="N19" i="29"/>
  <c r="K19" i="29"/>
  <c r="J19" i="29"/>
  <c r="L19" i="29" s="1"/>
  <c r="K18" i="29"/>
  <c r="J18" i="29"/>
  <c r="N18" i="29" s="1"/>
  <c r="K17" i="29"/>
  <c r="L17" i="29" s="1"/>
  <c r="J17" i="29"/>
  <c r="N17" i="29" s="1"/>
  <c r="L16" i="29"/>
  <c r="K16" i="29"/>
  <c r="J16" i="29"/>
  <c r="N16" i="29" s="1"/>
  <c r="N15" i="29"/>
  <c r="K15" i="29"/>
  <c r="L15" i="29" s="1"/>
  <c r="J15" i="29"/>
  <c r="K14" i="29"/>
  <c r="L14" i="29" s="1"/>
  <c r="J14" i="29"/>
  <c r="N14" i="29" s="1"/>
  <c r="N13" i="29"/>
  <c r="K13" i="29"/>
  <c r="L13" i="29" s="1"/>
  <c r="J13" i="29"/>
  <c r="K12" i="29"/>
  <c r="J12" i="29"/>
  <c r="L12" i="29" s="1"/>
  <c r="N11" i="29"/>
  <c r="K11" i="29"/>
  <c r="J11" i="29"/>
  <c r="L11" i="29" s="1"/>
  <c r="K10" i="29"/>
  <c r="J10" i="29"/>
  <c r="N10" i="29" s="1"/>
  <c r="K9" i="29"/>
  <c r="L9" i="29" s="1"/>
  <c r="J9" i="29"/>
  <c r="N9" i="29" s="1"/>
  <c r="L8" i="29"/>
  <c r="K8" i="29"/>
  <c r="J8" i="29"/>
  <c r="N8" i="29" s="1"/>
  <c r="N7" i="29"/>
  <c r="K7" i="29"/>
  <c r="L7" i="29" s="1"/>
  <c r="J7" i="29"/>
  <c r="K6" i="29"/>
  <c r="L6" i="29" s="1"/>
  <c r="J6" i="29"/>
  <c r="N6" i="29" s="1"/>
  <c r="N5" i="29"/>
  <c r="K5" i="29"/>
  <c r="L5" i="29" s="1"/>
  <c r="J5" i="29"/>
  <c r="K4" i="29"/>
  <c r="J4" i="29"/>
  <c r="L4" i="29" s="1"/>
  <c r="K3" i="29"/>
  <c r="J3" i="29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33" i="3" s="1"/>
  <c r="X24" i="3"/>
  <c r="X25" i="3"/>
  <c r="X26" i="3"/>
  <c r="X27" i="3"/>
  <c r="X28" i="3"/>
  <c r="X29" i="3"/>
  <c r="X30" i="3"/>
  <c r="X31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X5" i="3"/>
  <c r="W5" i="3"/>
  <c r="V5" i="3"/>
  <c r="U5" i="3"/>
  <c r="T5" i="3"/>
  <c r="S5" i="3"/>
  <c r="U33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33" i="3" s="1"/>
  <c r="R29" i="3"/>
  <c r="R30" i="3"/>
  <c r="R31" i="3"/>
  <c r="K30" i="28"/>
  <c r="L30" i="28" s="1"/>
  <c r="J30" i="28"/>
  <c r="N30" i="28" s="1"/>
  <c r="K29" i="28"/>
  <c r="L29" i="28" s="1"/>
  <c r="J29" i="28"/>
  <c r="N29" i="28" s="1"/>
  <c r="K28" i="28"/>
  <c r="J28" i="28"/>
  <c r="N28" i="28" s="1"/>
  <c r="K27" i="28"/>
  <c r="J27" i="28"/>
  <c r="N27" i="28" s="1"/>
  <c r="N26" i="28"/>
  <c r="K26" i="28"/>
  <c r="L26" i="28" s="1"/>
  <c r="J26" i="28"/>
  <c r="K25" i="28"/>
  <c r="J25" i="28"/>
  <c r="N25" i="28" s="1"/>
  <c r="N24" i="28"/>
  <c r="K24" i="28"/>
  <c r="L24" i="28" s="1"/>
  <c r="J24" i="28"/>
  <c r="K23" i="28"/>
  <c r="J23" i="28"/>
  <c r="N23" i="28" s="1"/>
  <c r="K22" i="28"/>
  <c r="J22" i="28"/>
  <c r="N22" i="28" s="1"/>
  <c r="N21" i="28"/>
  <c r="L21" i="28"/>
  <c r="K21" i="28"/>
  <c r="J21" i="28"/>
  <c r="K20" i="28"/>
  <c r="J20" i="28"/>
  <c r="N20" i="28" s="1"/>
  <c r="K19" i="28"/>
  <c r="J19" i="28"/>
  <c r="N19" i="28" s="1"/>
  <c r="K18" i="28"/>
  <c r="L18" i="28" s="1"/>
  <c r="J18" i="28"/>
  <c r="N18" i="28" s="1"/>
  <c r="K17" i="28"/>
  <c r="J17" i="28"/>
  <c r="N17" i="28" s="1"/>
  <c r="K16" i="28"/>
  <c r="J16" i="28"/>
  <c r="N16" i="28" s="1"/>
  <c r="K15" i="28"/>
  <c r="J15" i="28"/>
  <c r="N15" i="28" s="1"/>
  <c r="N14" i="28"/>
  <c r="K14" i="28"/>
  <c r="J14" i="28"/>
  <c r="N13" i="28"/>
  <c r="K13" i="28"/>
  <c r="L13" i="28" s="1"/>
  <c r="J13" i="28"/>
  <c r="K12" i="28"/>
  <c r="L12" i="28" s="1"/>
  <c r="J12" i="28"/>
  <c r="N12" i="28" s="1"/>
  <c r="K11" i="28"/>
  <c r="J11" i="28"/>
  <c r="N11" i="28" s="1"/>
  <c r="K10" i="28"/>
  <c r="J10" i="28"/>
  <c r="N10" i="28" s="1"/>
  <c r="K9" i="28"/>
  <c r="J9" i="28"/>
  <c r="N9" i="28" s="1"/>
  <c r="N8" i="28"/>
  <c r="K8" i="28"/>
  <c r="L8" i="28" s="1"/>
  <c r="J8" i="28"/>
  <c r="K7" i="28"/>
  <c r="L7" i="28" s="1"/>
  <c r="J7" i="28"/>
  <c r="N7" i="28" s="1"/>
  <c r="K6" i="28"/>
  <c r="J6" i="28"/>
  <c r="N6" i="28" s="1"/>
  <c r="N5" i="28"/>
  <c r="K5" i="28"/>
  <c r="J5" i="28"/>
  <c r="L5" i="28" s="1"/>
  <c r="K4" i="28"/>
  <c r="J4" i="28"/>
  <c r="N4" i="28" s="1"/>
  <c r="K3" i="28"/>
  <c r="J3" i="28"/>
  <c r="K30" i="27"/>
  <c r="L30" i="27" s="1"/>
  <c r="J30" i="27"/>
  <c r="N30" i="27" s="1"/>
  <c r="L29" i="27"/>
  <c r="K29" i="27"/>
  <c r="J29" i="27"/>
  <c r="N29" i="27" s="1"/>
  <c r="N28" i="27"/>
  <c r="K28" i="27"/>
  <c r="L28" i="27" s="1"/>
  <c r="J28" i="27"/>
  <c r="K27" i="27"/>
  <c r="J27" i="27"/>
  <c r="N27" i="27" s="1"/>
  <c r="N26" i="27"/>
  <c r="K26" i="27"/>
  <c r="L26" i="27" s="1"/>
  <c r="J26" i="27"/>
  <c r="K25" i="27"/>
  <c r="L25" i="27" s="1"/>
  <c r="J25" i="27"/>
  <c r="N25" i="27" s="1"/>
  <c r="N24" i="27"/>
  <c r="L24" i="27"/>
  <c r="K24" i="27"/>
  <c r="J24" i="27"/>
  <c r="K23" i="27"/>
  <c r="J23" i="27"/>
  <c r="N23" i="27" s="1"/>
  <c r="K22" i="27"/>
  <c r="L22" i="27" s="1"/>
  <c r="J22" i="27"/>
  <c r="N22" i="27" s="1"/>
  <c r="L21" i="27"/>
  <c r="K21" i="27"/>
  <c r="J21" i="27"/>
  <c r="N21" i="27" s="1"/>
  <c r="N20" i="27"/>
  <c r="K20" i="27"/>
  <c r="L20" i="27" s="1"/>
  <c r="J20" i="27"/>
  <c r="N19" i="27"/>
  <c r="K19" i="27"/>
  <c r="J19" i="27"/>
  <c r="L19" i="27" s="1"/>
  <c r="N18" i="27"/>
  <c r="K18" i="27"/>
  <c r="L18" i="27" s="1"/>
  <c r="J18" i="27"/>
  <c r="K17" i="27"/>
  <c r="L17" i="27" s="1"/>
  <c r="J17" i="27"/>
  <c r="N17" i="27" s="1"/>
  <c r="N16" i="27"/>
  <c r="L16" i="27"/>
  <c r="K16" i="27"/>
  <c r="J16" i="27"/>
  <c r="K15" i="27"/>
  <c r="J15" i="27"/>
  <c r="L15" i="27" s="1"/>
  <c r="K14" i="27"/>
  <c r="L14" i="27" s="1"/>
  <c r="J14" i="27"/>
  <c r="N14" i="27" s="1"/>
  <c r="L13" i="27"/>
  <c r="K13" i="27"/>
  <c r="J13" i="27"/>
  <c r="N13" i="27" s="1"/>
  <c r="N12" i="27"/>
  <c r="K12" i="27"/>
  <c r="L12" i="27" s="1"/>
  <c r="J12" i="27"/>
  <c r="N11" i="27"/>
  <c r="K11" i="27"/>
  <c r="J11" i="27"/>
  <c r="L11" i="27" s="1"/>
  <c r="N10" i="27"/>
  <c r="K10" i="27"/>
  <c r="L10" i="27" s="1"/>
  <c r="J10" i="27"/>
  <c r="K9" i="27"/>
  <c r="L9" i="27" s="1"/>
  <c r="J9" i="27"/>
  <c r="N9" i="27" s="1"/>
  <c r="N8" i="27"/>
  <c r="L8" i="27"/>
  <c r="K8" i="27"/>
  <c r="J8" i="27"/>
  <c r="K7" i="27"/>
  <c r="J7" i="27"/>
  <c r="L7" i="27" s="1"/>
  <c r="K6" i="27"/>
  <c r="L6" i="27" s="1"/>
  <c r="J6" i="27"/>
  <c r="N6" i="27" s="1"/>
  <c r="L5" i="27"/>
  <c r="K5" i="27"/>
  <c r="J5" i="27"/>
  <c r="N5" i="27" s="1"/>
  <c r="N4" i="27"/>
  <c r="K4" i="27"/>
  <c r="L4" i="27" s="1"/>
  <c r="J4" i="27"/>
  <c r="K3" i="27"/>
  <c r="J3" i="27"/>
  <c r="K30" i="26"/>
  <c r="L30" i="26" s="1"/>
  <c r="J30" i="26"/>
  <c r="N30" i="26" s="1"/>
  <c r="N29" i="26"/>
  <c r="L29" i="26"/>
  <c r="K29" i="26"/>
  <c r="J29" i="26"/>
  <c r="K28" i="26"/>
  <c r="J28" i="26"/>
  <c r="N28" i="26" s="1"/>
  <c r="K27" i="26"/>
  <c r="J27" i="26"/>
  <c r="N27" i="26" s="1"/>
  <c r="K26" i="26"/>
  <c r="L26" i="26" s="1"/>
  <c r="J26" i="26"/>
  <c r="N26" i="26" s="1"/>
  <c r="L25" i="26"/>
  <c r="K25" i="26"/>
  <c r="J25" i="26"/>
  <c r="N25" i="26" s="1"/>
  <c r="N24" i="26"/>
  <c r="L24" i="26"/>
  <c r="K24" i="26"/>
  <c r="J24" i="26"/>
  <c r="K23" i="26"/>
  <c r="L23" i="26" s="1"/>
  <c r="J23" i="26"/>
  <c r="N23" i="26" s="1"/>
  <c r="K22" i="26"/>
  <c r="L22" i="26" s="1"/>
  <c r="J22" i="26"/>
  <c r="N22" i="26" s="1"/>
  <c r="N21" i="26"/>
  <c r="L21" i="26"/>
  <c r="K21" i="26"/>
  <c r="J21" i="26"/>
  <c r="K20" i="26"/>
  <c r="L20" i="26" s="1"/>
  <c r="J20" i="26"/>
  <c r="N20" i="26" s="1"/>
  <c r="K19" i="26"/>
  <c r="L19" i="26" s="1"/>
  <c r="J19" i="26"/>
  <c r="N19" i="26" s="1"/>
  <c r="K18" i="26"/>
  <c r="L18" i="26" s="1"/>
  <c r="J18" i="26"/>
  <c r="N18" i="26" s="1"/>
  <c r="L17" i="26"/>
  <c r="K17" i="26"/>
  <c r="J17" i="26"/>
  <c r="N17" i="26" s="1"/>
  <c r="N16" i="26"/>
  <c r="L16" i="26"/>
  <c r="K16" i="26"/>
  <c r="J16" i="26"/>
  <c r="K15" i="26"/>
  <c r="L15" i="26" s="1"/>
  <c r="J15" i="26"/>
  <c r="N15" i="26" s="1"/>
  <c r="K14" i="26"/>
  <c r="L14" i="26" s="1"/>
  <c r="J14" i="26"/>
  <c r="N14" i="26" s="1"/>
  <c r="N13" i="26"/>
  <c r="L13" i="26"/>
  <c r="K13" i="26"/>
  <c r="J13" i="26"/>
  <c r="K12" i="26"/>
  <c r="L12" i="26" s="1"/>
  <c r="J12" i="26"/>
  <c r="N12" i="26" s="1"/>
  <c r="K11" i="26"/>
  <c r="L11" i="26" s="1"/>
  <c r="J11" i="26"/>
  <c r="N11" i="26" s="1"/>
  <c r="K10" i="26"/>
  <c r="L10" i="26" s="1"/>
  <c r="J10" i="26"/>
  <c r="N10" i="26" s="1"/>
  <c r="L9" i="26"/>
  <c r="K9" i="26"/>
  <c r="J9" i="26"/>
  <c r="N9" i="26" s="1"/>
  <c r="N8" i="26"/>
  <c r="L8" i="26"/>
  <c r="K8" i="26"/>
  <c r="J8" i="26"/>
  <c r="K7" i="26"/>
  <c r="L7" i="26" s="1"/>
  <c r="J7" i="26"/>
  <c r="N7" i="26" s="1"/>
  <c r="K6" i="26"/>
  <c r="L6" i="26" s="1"/>
  <c r="J6" i="26"/>
  <c r="N6" i="26" s="1"/>
  <c r="N5" i="26"/>
  <c r="L5" i="26"/>
  <c r="K5" i="26"/>
  <c r="J5" i="26"/>
  <c r="N4" i="26"/>
  <c r="K4" i="26"/>
  <c r="J4" i="26"/>
  <c r="L4" i="26" s="1"/>
  <c r="K3" i="26"/>
  <c r="J3" i="26"/>
  <c r="N30" i="25"/>
  <c r="O30" i="25" s="1"/>
  <c r="K30" i="25"/>
  <c r="L30" i="25" s="1"/>
  <c r="J30" i="25"/>
  <c r="K29" i="25"/>
  <c r="J29" i="25"/>
  <c r="N29" i="25" s="1"/>
  <c r="O29" i="25" s="1"/>
  <c r="N28" i="25"/>
  <c r="O28" i="25" s="1"/>
  <c r="K28" i="25"/>
  <c r="L28" i="25" s="1"/>
  <c r="J28" i="25"/>
  <c r="L27" i="25"/>
  <c r="K27" i="25"/>
  <c r="J27" i="25"/>
  <c r="N27" i="25" s="1"/>
  <c r="O27" i="25" s="1"/>
  <c r="N26" i="25"/>
  <c r="O26" i="25" s="1"/>
  <c r="K26" i="25"/>
  <c r="L26" i="25" s="1"/>
  <c r="J26" i="25"/>
  <c r="K25" i="25"/>
  <c r="J25" i="25"/>
  <c r="N25" i="25" s="1"/>
  <c r="O25" i="25" s="1"/>
  <c r="N24" i="25"/>
  <c r="O24" i="25" s="1"/>
  <c r="K24" i="25"/>
  <c r="L24" i="25" s="1"/>
  <c r="J24" i="25"/>
  <c r="K23" i="25"/>
  <c r="J23" i="25"/>
  <c r="N23" i="25" s="1"/>
  <c r="O23" i="25" s="1"/>
  <c r="N22" i="25"/>
  <c r="O22" i="25" s="1"/>
  <c r="K22" i="25"/>
  <c r="L22" i="25" s="1"/>
  <c r="J22" i="25"/>
  <c r="K21" i="25"/>
  <c r="J21" i="25"/>
  <c r="N21" i="25" s="1"/>
  <c r="O21" i="25" s="1"/>
  <c r="N20" i="25"/>
  <c r="O20" i="25" s="1"/>
  <c r="K20" i="25"/>
  <c r="L20" i="25" s="1"/>
  <c r="J20" i="25"/>
  <c r="L19" i="25"/>
  <c r="K19" i="25"/>
  <c r="J19" i="25"/>
  <c r="N19" i="25" s="1"/>
  <c r="O19" i="25" s="1"/>
  <c r="N18" i="25"/>
  <c r="O18" i="25" s="1"/>
  <c r="K18" i="25"/>
  <c r="L18" i="25" s="1"/>
  <c r="J18" i="25"/>
  <c r="K17" i="25"/>
  <c r="J17" i="25"/>
  <c r="N17" i="25" s="1"/>
  <c r="O17" i="25" s="1"/>
  <c r="N16" i="25"/>
  <c r="O16" i="25" s="1"/>
  <c r="K16" i="25"/>
  <c r="L16" i="25" s="1"/>
  <c r="J16" i="25"/>
  <c r="K15" i="25"/>
  <c r="J15" i="25"/>
  <c r="L15" i="25" s="1"/>
  <c r="N14" i="25"/>
  <c r="O14" i="25" s="1"/>
  <c r="K14" i="25"/>
  <c r="L14" i="25" s="1"/>
  <c r="J14" i="25"/>
  <c r="K13" i="25"/>
  <c r="J13" i="25"/>
  <c r="N13" i="25" s="1"/>
  <c r="O13" i="25" s="1"/>
  <c r="N12" i="25"/>
  <c r="O12" i="25" s="1"/>
  <c r="K12" i="25"/>
  <c r="L12" i="25" s="1"/>
  <c r="J12" i="25"/>
  <c r="L11" i="25"/>
  <c r="K11" i="25"/>
  <c r="J11" i="25"/>
  <c r="N11" i="25" s="1"/>
  <c r="O11" i="25" s="1"/>
  <c r="N10" i="25"/>
  <c r="O10" i="25" s="1"/>
  <c r="K10" i="25"/>
  <c r="L10" i="25" s="1"/>
  <c r="J10" i="25"/>
  <c r="K9" i="25"/>
  <c r="J9" i="25"/>
  <c r="N9" i="25" s="1"/>
  <c r="O9" i="25" s="1"/>
  <c r="N8" i="25"/>
  <c r="O8" i="25" s="1"/>
  <c r="K8" i="25"/>
  <c r="L8" i="25" s="1"/>
  <c r="J8" i="25"/>
  <c r="K7" i="25"/>
  <c r="J7" i="25"/>
  <c r="L7" i="25" s="1"/>
  <c r="N6" i="25"/>
  <c r="O6" i="25" s="1"/>
  <c r="K6" i="25"/>
  <c r="L6" i="25" s="1"/>
  <c r="J6" i="25"/>
  <c r="K5" i="25"/>
  <c r="J5" i="25"/>
  <c r="L5" i="25" s="1"/>
  <c r="N4" i="25"/>
  <c r="O4" i="25" s="1"/>
  <c r="K4" i="25"/>
  <c r="L4" i="25" s="1"/>
  <c r="J4" i="25"/>
  <c r="K3" i="25"/>
  <c r="J3" i="25"/>
  <c r="P1" i="25"/>
  <c r="K30" i="24"/>
  <c r="L30" i="24" s="1"/>
  <c r="J30" i="24"/>
  <c r="N30" i="24" s="1"/>
  <c r="N29" i="24"/>
  <c r="L29" i="24"/>
  <c r="K29" i="24"/>
  <c r="J29" i="24"/>
  <c r="K28" i="24"/>
  <c r="J28" i="24"/>
  <c r="N28" i="24" s="1"/>
  <c r="K27" i="24"/>
  <c r="J27" i="24"/>
  <c r="N27" i="24" s="1"/>
  <c r="K26" i="24"/>
  <c r="L26" i="24" s="1"/>
  <c r="J26" i="24"/>
  <c r="N26" i="24" s="1"/>
  <c r="L25" i="24"/>
  <c r="K25" i="24"/>
  <c r="J25" i="24"/>
  <c r="N25" i="24" s="1"/>
  <c r="N24" i="24"/>
  <c r="L24" i="24"/>
  <c r="K24" i="24"/>
  <c r="J24" i="24"/>
  <c r="K23" i="24"/>
  <c r="L23" i="24" s="1"/>
  <c r="J23" i="24"/>
  <c r="N23" i="24" s="1"/>
  <c r="K22" i="24"/>
  <c r="L22" i="24" s="1"/>
  <c r="J22" i="24"/>
  <c r="N22" i="24" s="1"/>
  <c r="N21" i="24"/>
  <c r="L21" i="24"/>
  <c r="K21" i="24"/>
  <c r="J21" i="24"/>
  <c r="K20" i="24"/>
  <c r="J20" i="24"/>
  <c r="N20" i="24" s="1"/>
  <c r="K19" i="24"/>
  <c r="L19" i="24" s="1"/>
  <c r="J19" i="24"/>
  <c r="N19" i="24" s="1"/>
  <c r="K18" i="24"/>
  <c r="L18" i="24" s="1"/>
  <c r="J18" i="24"/>
  <c r="N18" i="24" s="1"/>
  <c r="L17" i="24"/>
  <c r="K17" i="24"/>
  <c r="J17" i="24"/>
  <c r="N17" i="24" s="1"/>
  <c r="N16" i="24"/>
  <c r="L16" i="24"/>
  <c r="K16" i="24"/>
  <c r="J16" i="24"/>
  <c r="K15" i="24"/>
  <c r="L15" i="24" s="1"/>
  <c r="J15" i="24"/>
  <c r="N15" i="24" s="1"/>
  <c r="K14" i="24"/>
  <c r="L14" i="24" s="1"/>
  <c r="J14" i="24"/>
  <c r="N14" i="24" s="1"/>
  <c r="N13" i="24"/>
  <c r="L13" i="24"/>
  <c r="K13" i="24"/>
  <c r="J13" i="24"/>
  <c r="K12" i="24"/>
  <c r="J12" i="24"/>
  <c r="N12" i="24" s="1"/>
  <c r="K11" i="24"/>
  <c r="L11" i="24" s="1"/>
  <c r="J11" i="24"/>
  <c r="N11" i="24" s="1"/>
  <c r="K10" i="24"/>
  <c r="L10" i="24" s="1"/>
  <c r="J10" i="24"/>
  <c r="N10" i="24" s="1"/>
  <c r="L9" i="24"/>
  <c r="K9" i="24"/>
  <c r="J9" i="24"/>
  <c r="N9" i="24" s="1"/>
  <c r="N8" i="24"/>
  <c r="L8" i="24"/>
  <c r="K8" i="24"/>
  <c r="J8" i="24"/>
  <c r="K7" i="24"/>
  <c r="L7" i="24" s="1"/>
  <c r="J7" i="24"/>
  <c r="N7" i="24" s="1"/>
  <c r="K6" i="24"/>
  <c r="L6" i="24" s="1"/>
  <c r="J6" i="24"/>
  <c r="N6" i="24" s="1"/>
  <c r="N5" i="24"/>
  <c r="L5" i="24"/>
  <c r="K5" i="24"/>
  <c r="J5" i="24"/>
  <c r="K4" i="24"/>
  <c r="J4" i="24"/>
  <c r="N4" i="24" s="1"/>
  <c r="K3" i="24"/>
  <c r="J3" i="24"/>
  <c r="K30" i="23"/>
  <c r="L30" i="23" s="1"/>
  <c r="J30" i="23"/>
  <c r="N30" i="23" s="1"/>
  <c r="O30" i="23" s="1"/>
  <c r="L29" i="23"/>
  <c r="K29" i="23"/>
  <c r="J29" i="23"/>
  <c r="N29" i="23" s="1"/>
  <c r="O29" i="23" s="1"/>
  <c r="N28" i="23"/>
  <c r="O28" i="23" s="1"/>
  <c r="K28" i="23"/>
  <c r="L28" i="23" s="1"/>
  <c r="J28" i="23"/>
  <c r="K27" i="23"/>
  <c r="J27" i="23"/>
  <c r="N27" i="23" s="1"/>
  <c r="O27" i="23" s="1"/>
  <c r="N26" i="23"/>
  <c r="O26" i="23" s="1"/>
  <c r="K26" i="23"/>
  <c r="L26" i="23" s="1"/>
  <c r="J26" i="23"/>
  <c r="K25" i="23"/>
  <c r="J25" i="23"/>
  <c r="N25" i="23" s="1"/>
  <c r="O25" i="23" s="1"/>
  <c r="N24" i="23"/>
  <c r="O24" i="23" s="1"/>
  <c r="K24" i="23"/>
  <c r="L24" i="23" s="1"/>
  <c r="J24" i="23"/>
  <c r="K23" i="23"/>
  <c r="J23" i="23"/>
  <c r="L23" i="23" s="1"/>
  <c r="K22" i="23"/>
  <c r="L22" i="23" s="1"/>
  <c r="J22" i="23"/>
  <c r="N22" i="23" s="1"/>
  <c r="O22" i="23" s="1"/>
  <c r="L21" i="23"/>
  <c r="K21" i="23"/>
  <c r="J21" i="23"/>
  <c r="N21" i="23" s="1"/>
  <c r="O21" i="23" s="1"/>
  <c r="N20" i="23"/>
  <c r="O20" i="23" s="1"/>
  <c r="K20" i="23"/>
  <c r="L20" i="23" s="1"/>
  <c r="J20" i="23"/>
  <c r="K19" i="23"/>
  <c r="J19" i="23"/>
  <c r="N19" i="23" s="1"/>
  <c r="O19" i="23" s="1"/>
  <c r="N18" i="23"/>
  <c r="O18" i="23" s="1"/>
  <c r="K18" i="23"/>
  <c r="L18" i="23" s="1"/>
  <c r="J18" i="23"/>
  <c r="K17" i="23"/>
  <c r="J17" i="23"/>
  <c r="N17" i="23" s="1"/>
  <c r="O17" i="23" s="1"/>
  <c r="N16" i="23"/>
  <c r="O16" i="23" s="1"/>
  <c r="K16" i="23"/>
  <c r="L16" i="23" s="1"/>
  <c r="J16" i="23"/>
  <c r="K15" i="23"/>
  <c r="J15" i="23"/>
  <c r="L15" i="23" s="1"/>
  <c r="N14" i="23"/>
  <c r="O14" i="23" s="1"/>
  <c r="K14" i="23"/>
  <c r="L14" i="23" s="1"/>
  <c r="J14" i="23"/>
  <c r="L13" i="23"/>
  <c r="K13" i="23"/>
  <c r="J13" i="23"/>
  <c r="N13" i="23" s="1"/>
  <c r="O13" i="23" s="1"/>
  <c r="N12" i="23"/>
  <c r="O12" i="23" s="1"/>
  <c r="K12" i="23"/>
  <c r="L12" i="23" s="1"/>
  <c r="J12" i="23"/>
  <c r="K11" i="23"/>
  <c r="J11" i="23"/>
  <c r="N11" i="23" s="1"/>
  <c r="O11" i="23" s="1"/>
  <c r="N10" i="23"/>
  <c r="O10" i="23" s="1"/>
  <c r="K10" i="23"/>
  <c r="L10" i="23" s="1"/>
  <c r="J10" i="23"/>
  <c r="K9" i="23"/>
  <c r="J9" i="23"/>
  <c r="N9" i="23" s="1"/>
  <c r="O9" i="23" s="1"/>
  <c r="N8" i="23"/>
  <c r="O8" i="23" s="1"/>
  <c r="K8" i="23"/>
  <c r="L8" i="23" s="1"/>
  <c r="J8" i="23"/>
  <c r="K7" i="23"/>
  <c r="J7" i="23"/>
  <c r="L7" i="23" s="1"/>
  <c r="N6" i="23"/>
  <c r="O6" i="23" s="1"/>
  <c r="K6" i="23"/>
  <c r="L6" i="23" s="1"/>
  <c r="J6" i="23"/>
  <c r="L5" i="23"/>
  <c r="K5" i="23"/>
  <c r="J5" i="23"/>
  <c r="N5" i="23" s="1"/>
  <c r="O5" i="23" s="1"/>
  <c r="N4" i="23"/>
  <c r="O4" i="23" s="1"/>
  <c r="K4" i="23"/>
  <c r="L4" i="23" s="1"/>
  <c r="J4" i="23"/>
  <c r="K3" i="23"/>
  <c r="J3" i="23"/>
  <c r="P1" i="23"/>
  <c r="K30" i="22"/>
  <c r="L30" i="22" s="1"/>
  <c r="J30" i="22"/>
  <c r="N30" i="22" s="1"/>
  <c r="L29" i="22"/>
  <c r="K29" i="22"/>
  <c r="J29" i="22"/>
  <c r="N29" i="22" s="1"/>
  <c r="N28" i="22"/>
  <c r="K28" i="22"/>
  <c r="L28" i="22" s="1"/>
  <c r="J28" i="22"/>
  <c r="N27" i="22"/>
  <c r="K27" i="22"/>
  <c r="L27" i="22" s="1"/>
  <c r="J27" i="22"/>
  <c r="N26" i="22"/>
  <c r="K26" i="22"/>
  <c r="L26" i="22" s="1"/>
  <c r="J26" i="22"/>
  <c r="K25" i="22"/>
  <c r="L25" i="22" s="1"/>
  <c r="J25" i="22"/>
  <c r="N25" i="22" s="1"/>
  <c r="N24" i="22"/>
  <c r="L24" i="22"/>
  <c r="K24" i="22"/>
  <c r="J24" i="22"/>
  <c r="K23" i="22"/>
  <c r="J23" i="22"/>
  <c r="L23" i="22" s="1"/>
  <c r="K22" i="22"/>
  <c r="L22" i="22" s="1"/>
  <c r="J22" i="22"/>
  <c r="N22" i="22" s="1"/>
  <c r="L21" i="22"/>
  <c r="K21" i="22"/>
  <c r="J21" i="22"/>
  <c r="N21" i="22" s="1"/>
  <c r="N20" i="22"/>
  <c r="K20" i="22"/>
  <c r="L20" i="22" s="1"/>
  <c r="J20" i="22"/>
  <c r="N19" i="22"/>
  <c r="K19" i="22"/>
  <c r="L19" i="22" s="1"/>
  <c r="J19" i="22"/>
  <c r="N18" i="22"/>
  <c r="K18" i="22"/>
  <c r="L18" i="22" s="1"/>
  <c r="J18" i="22"/>
  <c r="K17" i="22"/>
  <c r="L17" i="22" s="1"/>
  <c r="J17" i="22"/>
  <c r="N17" i="22" s="1"/>
  <c r="N16" i="22"/>
  <c r="L16" i="22"/>
  <c r="K16" i="22"/>
  <c r="J16" i="22"/>
  <c r="K15" i="22"/>
  <c r="J15" i="22"/>
  <c r="L15" i="22" s="1"/>
  <c r="K14" i="22"/>
  <c r="L14" i="22" s="1"/>
  <c r="J14" i="22"/>
  <c r="N14" i="22" s="1"/>
  <c r="L13" i="22"/>
  <c r="K13" i="22"/>
  <c r="J13" i="22"/>
  <c r="N13" i="22" s="1"/>
  <c r="N12" i="22"/>
  <c r="K12" i="22"/>
  <c r="L12" i="22" s="1"/>
  <c r="J12" i="22"/>
  <c r="N11" i="22"/>
  <c r="K11" i="22"/>
  <c r="L11" i="22" s="1"/>
  <c r="J11" i="22"/>
  <c r="K10" i="22"/>
  <c r="L10" i="22" s="1"/>
  <c r="J10" i="22"/>
  <c r="N10" i="22" s="1"/>
  <c r="K9" i="22"/>
  <c r="L9" i="22" s="1"/>
  <c r="J9" i="22"/>
  <c r="N9" i="22" s="1"/>
  <c r="N8" i="22"/>
  <c r="L8" i="22"/>
  <c r="K8" i="22"/>
  <c r="J8" i="22"/>
  <c r="K7" i="22"/>
  <c r="J7" i="22"/>
  <c r="L7" i="22" s="1"/>
  <c r="K6" i="22"/>
  <c r="L6" i="22" s="1"/>
  <c r="J6" i="22"/>
  <c r="N6" i="22" s="1"/>
  <c r="L5" i="22"/>
  <c r="K5" i="22"/>
  <c r="J5" i="22"/>
  <c r="N5" i="22" s="1"/>
  <c r="N4" i="22"/>
  <c r="K4" i="22"/>
  <c r="L4" i="22" s="1"/>
  <c r="J4" i="22"/>
  <c r="K3" i="22"/>
  <c r="J3" i="22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33" i="3" s="1"/>
  <c r="Q22" i="3"/>
  <c r="Q23" i="3"/>
  <c r="Q24" i="3"/>
  <c r="Q25" i="3"/>
  <c r="Q26" i="3"/>
  <c r="Q27" i="3"/>
  <c r="Q28" i="3"/>
  <c r="Q29" i="3"/>
  <c r="Q30" i="3"/>
  <c r="Q31" i="3"/>
  <c r="Q5" i="3"/>
  <c r="A83" i="20"/>
  <c r="F86" i="20"/>
  <c r="G86" i="20"/>
  <c r="H86" i="20"/>
  <c r="I86" i="20"/>
  <c r="J86" i="20"/>
  <c r="K86" i="20"/>
  <c r="B86" i="20"/>
  <c r="C36" i="20"/>
  <c r="C44" i="20" s="1"/>
  <c r="D36" i="20"/>
  <c r="D44" i="20" s="1"/>
  <c r="E36" i="20"/>
  <c r="E44" i="20" s="1"/>
  <c r="F36" i="20"/>
  <c r="F44" i="20" s="1"/>
  <c r="G36" i="20"/>
  <c r="G44" i="20" s="1"/>
  <c r="H36" i="20"/>
  <c r="H44" i="20" s="1"/>
  <c r="I36" i="20"/>
  <c r="I44" i="20" s="1"/>
  <c r="J36" i="20"/>
  <c r="J44" i="20" s="1"/>
  <c r="K36" i="20"/>
  <c r="K44" i="20" s="1"/>
  <c r="L36" i="20"/>
  <c r="L44" i="20" s="1"/>
  <c r="M36" i="20"/>
  <c r="M86" i="20" s="1"/>
  <c r="N36" i="20"/>
  <c r="N86" i="20" s="1"/>
  <c r="O36" i="20"/>
  <c r="O86" i="20" s="1"/>
  <c r="P36" i="20"/>
  <c r="P86" i="20" s="1"/>
  <c r="Q36" i="20"/>
  <c r="Q86" i="20" s="1"/>
  <c r="B36" i="20"/>
  <c r="B44" i="20" s="1"/>
  <c r="V33" i="3" l="1"/>
  <c r="W33" i="3"/>
  <c r="Y33" i="3"/>
  <c r="T33" i="3"/>
  <c r="S33" i="3"/>
  <c r="P1" i="29"/>
  <c r="O8" i="29" s="1"/>
  <c r="O9" i="29"/>
  <c r="O15" i="29"/>
  <c r="O29" i="29"/>
  <c r="O19" i="29"/>
  <c r="O26" i="29"/>
  <c r="O30" i="29"/>
  <c r="O14" i="29"/>
  <c r="O17" i="29"/>
  <c r="N27" i="29"/>
  <c r="L10" i="29"/>
  <c r="L18" i="29"/>
  <c r="L20" i="29"/>
  <c r="N4" i="29"/>
  <c r="O4" i="29" s="1"/>
  <c r="N12" i="29"/>
  <c r="O12" i="29" s="1"/>
  <c r="N28" i="29"/>
  <c r="O28" i="29" s="1"/>
  <c r="P1" i="28"/>
  <c r="O29" i="28" s="1"/>
  <c r="L6" i="28"/>
  <c r="L15" i="28"/>
  <c r="L28" i="28"/>
  <c r="L4" i="28"/>
  <c r="L10" i="28"/>
  <c r="L16" i="28"/>
  <c r="L22" i="28"/>
  <c r="L20" i="28"/>
  <c r="L23" i="28"/>
  <c r="L14" i="28"/>
  <c r="L9" i="28"/>
  <c r="L17" i="28"/>
  <c r="L25" i="28"/>
  <c r="L11" i="28"/>
  <c r="L19" i="28"/>
  <c r="L27" i="28"/>
  <c r="O24" i="27"/>
  <c r="O4" i="27"/>
  <c r="O10" i="27"/>
  <c r="O22" i="27"/>
  <c r="O25" i="27"/>
  <c r="O5" i="27"/>
  <c r="O14" i="27"/>
  <c r="O23" i="27"/>
  <c r="O29" i="27"/>
  <c r="O16" i="27"/>
  <c r="O28" i="27"/>
  <c r="O8" i="27"/>
  <c r="O18" i="27"/>
  <c r="O6" i="27"/>
  <c r="P1" i="27"/>
  <c r="O9" i="27"/>
  <c r="O20" i="27"/>
  <c r="O26" i="27"/>
  <c r="O12" i="27"/>
  <c r="O21" i="27"/>
  <c r="O27" i="27"/>
  <c r="O30" i="27"/>
  <c r="L23" i="27"/>
  <c r="N7" i="27"/>
  <c r="O7" i="27" s="1"/>
  <c r="N15" i="27"/>
  <c r="O15" i="27" s="1"/>
  <c r="L27" i="27"/>
  <c r="O11" i="26"/>
  <c r="O26" i="26"/>
  <c r="O21" i="26"/>
  <c r="O19" i="26"/>
  <c r="O13" i="26"/>
  <c r="O14" i="26"/>
  <c r="O25" i="26"/>
  <c r="O10" i="26"/>
  <c r="O23" i="26"/>
  <c r="O17" i="26"/>
  <c r="O5" i="26"/>
  <c r="O8" i="26"/>
  <c r="O27" i="26"/>
  <c r="O30" i="26"/>
  <c r="O28" i="26"/>
  <c r="O7" i="26"/>
  <c r="O4" i="26"/>
  <c r="O20" i="26"/>
  <c r="P1" i="26"/>
  <c r="O22" i="26" s="1"/>
  <c r="O9" i="26"/>
  <c r="O18" i="26"/>
  <c r="L28" i="26"/>
  <c r="L27" i="26"/>
  <c r="L13" i="25"/>
  <c r="L21" i="25"/>
  <c r="L29" i="25"/>
  <c r="N5" i="25"/>
  <c r="O5" i="25" s="1"/>
  <c r="L23" i="25"/>
  <c r="N7" i="25"/>
  <c r="O7" i="25" s="1"/>
  <c r="N15" i="25"/>
  <c r="O15" i="25" s="1"/>
  <c r="L9" i="25"/>
  <c r="L17" i="25"/>
  <c r="L25" i="25"/>
  <c r="O10" i="24"/>
  <c r="O23" i="24"/>
  <c r="O14" i="24"/>
  <c r="O17" i="24"/>
  <c r="O26" i="24"/>
  <c r="O13" i="24"/>
  <c r="O29" i="24"/>
  <c r="O4" i="24"/>
  <c r="O16" i="24"/>
  <c r="O5" i="24"/>
  <c r="O8" i="24"/>
  <c r="O27" i="24"/>
  <c r="O30" i="24"/>
  <c r="O24" i="24"/>
  <c r="O19" i="24"/>
  <c r="O20" i="24"/>
  <c r="O11" i="24"/>
  <c r="P1" i="24"/>
  <c r="O22" i="24" s="1"/>
  <c r="O9" i="24"/>
  <c r="O18" i="24"/>
  <c r="L4" i="24"/>
  <c r="L12" i="24"/>
  <c r="L20" i="24"/>
  <c r="L28" i="24"/>
  <c r="L27" i="24"/>
  <c r="N7" i="23"/>
  <c r="O7" i="23" s="1"/>
  <c r="N15" i="23"/>
  <c r="O15" i="23" s="1"/>
  <c r="N23" i="23"/>
  <c r="O23" i="23" s="1"/>
  <c r="L9" i="23"/>
  <c r="L17" i="23"/>
  <c r="L25" i="23"/>
  <c r="L11" i="23"/>
  <c r="L19" i="23"/>
  <c r="L27" i="23"/>
  <c r="O29" i="22"/>
  <c r="O14" i="22"/>
  <c r="O26" i="22"/>
  <c r="P1" i="22"/>
  <c r="O20" i="22" s="1"/>
  <c r="O21" i="22"/>
  <c r="O9" i="22"/>
  <c r="O18" i="22"/>
  <c r="O10" i="22"/>
  <c r="O13" i="22"/>
  <c r="O24" i="22"/>
  <c r="N7" i="22"/>
  <c r="O7" i="22" s="1"/>
  <c r="N15" i="22"/>
  <c r="O15" i="22" s="1"/>
  <c r="N23" i="22"/>
  <c r="N44" i="20"/>
  <c r="M44" i="20"/>
  <c r="E86" i="20"/>
  <c r="D86" i="20"/>
  <c r="C86" i="20"/>
  <c r="L86" i="20"/>
  <c r="F34" i="20"/>
  <c r="E34" i="20"/>
  <c r="D34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5" i="20"/>
  <c r="A5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4" i="20"/>
  <c r="A4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B2" i="20"/>
  <c r="A2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B1" i="20"/>
  <c r="A1" i="20"/>
  <c r="Q88" i="20"/>
  <c r="Q89" i="20" s="1"/>
  <c r="Q90" i="20" s="1"/>
  <c r="K30" i="19"/>
  <c r="L30" i="19" s="1"/>
  <c r="J30" i="19"/>
  <c r="N30" i="19" s="1"/>
  <c r="N29" i="19"/>
  <c r="L29" i="19"/>
  <c r="K29" i="19"/>
  <c r="J29" i="19"/>
  <c r="L28" i="19"/>
  <c r="K28" i="19"/>
  <c r="J28" i="19"/>
  <c r="N28" i="19" s="1"/>
  <c r="K27" i="19"/>
  <c r="J27" i="19"/>
  <c r="N27" i="19" s="1"/>
  <c r="N26" i="19"/>
  <c r="K26" i="19"/>
  <c r="L26" i="19" s="1"/>
  <c r="J26" i="19"/>
  <c r="N25" i="19"/>
  <c r="K25" i="19"/>
  <c r="J25" i="19"/>
  <c r="K24" i="19"/>
  <c r="J24" i="19"/>
  <c r="L24" i="19" s="1"/>
  <c r="K23" i="19"/>
  <c r="L23" i="19" s="1"/>
  <c r="J23" i="19"/>
  <c r="N23" i="19" s="1"/>
  <c r="K22" i="19"/>
  <c r="L22" i="19" s="1"/>
  <c r="J22" i="19"/>
  <c r="N22" i="19" s="1"/>
  <c r="K21" i="19"/>
  <c r="L21" i="19" s="1"/>
  <c r="J21" i="19"/>
  <c r="N21" i="19" s="1"/>
  <c r="K20" i="19"/>
  <c r="J20" i="19"/>
  <c r="N20" i="19" s="1"/>
  <c r="K19" i="19"/>
  <c r="J19" i="19"/>
  <c r="N19" i="19" s="1"/>
  <c r="K18" i="19"/>
  <c r="J18" i="19"/>
  <c r="N18" i="19" s="1"/>
  <c r="K17" i="19"/>
  <c r="J17" i="19"/>
  <c r="N17" i="19" s="1"/>
  <c r="K16" i="19"/>
  <c r="J16" i="19"/>
  <c r="N16" i="19" s="1"/>
  <c r="K15" i="19"/>
  <c r="J15" i="19"/>
  <c r="N15" i="19" s="1"/>
  <c r="L14" i="19"/>
  <c r="K14" i="19"/>
  <c r="J14" i="19"/>
  <c r="N14" i="19" s="1"/>
  <c r="N13" i="19"/>
  <c r="K13" i="19"/>
  <c r="L13" i="19" s="1"/>
  <c r="J13" i="19"/>
  <c r="K12" i="19"/>
  <c r="L12" i="19" s="1"/>
  <c r="J12" i="19"/>
  <c r="N12" i="19" s="1"/>
  <c r="K11" i="19"/>
  <c r="J11" i="19"/>
  <c r="N11" i="19" s="1"/>
  <c r="N10" i="19"/>
  <c r="K10" i="19"/>
  <c r="L10" i="19" s="1"/>
  <c r="J10" i="19"/>
  <c r="N9" i="19"/>
  <c r="K9" i="19"/>
  <c r="L9" i="19" s="1"/>
  <c r="J9" i="19"/>
  <c r="K8" i="19"/>
  <c r="J8" i="19"/>
  <c r="N8" i="19" s="1"/>
  <c r="K7" i="19"/>
  <c r="J7" i="19"/>
  <c r="N7" i="19" s="1"/>
  <c r="K6" i="19"/>
  <c r="L6" i="19" s="1"/>
  <c r="J6" i="19"/>
  <c r="N6" i="19" s="1"/>
  <c r="K5" i="19"/>
  <c r="L5" i="19" s="1"/>
  <c r="J5" i="19"/>
  <c r="N5" i="19" s="1"/>
  <c r="L4" i="19"/>
  <c r="K4" i="19"/>
  <c r="J4" i="19"/>
  <c r="N4" i="19" s="1"/>
  <c r="K3" i="19"/>
  <c r="J3" i="19"/>
  <c r="P6" i="3"/>
  <c r="P7" i="20" s="1"/>
  <c r="P7" i="3"/>
  <c r="P8" i="20" s="1"/>
  <c r="P8" i="3"/>
  <c r="P9" i="20" s="1"/>
  <c r="P9" i="3"/>
  <c r="P10" i="20" s="1"/>
  <c r="P10" i="3"/>
  <c r="P11" i="20" s="1"/>
  <c r="P11" i="3"/>
  <c r="P12" i="20" s="1"/>
  <c r="P12" i="3"/>
  <c r="P13" i="20" s="1"/>
  <c r="P13" i="3"/>
  <c r="P14" i="20" s="1"/>
  <c r="P14" i="3"/>
  <c r="P15" i="20" s="1"/>
  <c r="P15" i="3"/>
  <c r="P16" i="20" s="1"/>
  <c r="P16" i="3"/>
  <c r="P17" i="20" s="1"/>
  <c r="P17" i="3"/>
  <c r="P18" i="20" s="1"/>
  <c r="P18" i="3"/>
  <c r="P19" i="20" s="1"/>
  <c r="P19" i="3"/>
  <c r="P20" i="20" s="1"/>
  <c r="P20" i="3"/>
  <c r="P21" i="20" s="1"/>
  <c r="P88" i="20" s="1"/>
  <c r="P89" i="20" s="1"/>
  <c r="P90" i="20" s="1"/>
  <c r="P21" i="3"/>
  <c r="P22" i="20" s="1"/>
  <c r="P22" i="3"/>
  <c r="P23" i="20" s="1"/>
  <c r="P23" i="3"/>
  <c r="P24" i="20" s="1"/>
  <c r="P24" i="3"/>
  <c r="P25" i="20" s="1"/>
  <c r="P25" i="3"/>
  <c r="P26" i="20" s="1"/>
  <c r="P26" i="3"/>
  <c r="P27" i="20" s="1"/>
  <c r="P27" i="3"/>
  <c r="P28" i="20" s="1"/>
  <c r="P28" i="3"/>
  <c r="P29" i="20" s="1"/>
  <c r="P29" i="3"/>
  <c r="P30" i="20" s="1"/>
  <c r="P30" i="3"/>
  <c r="P31" i="20" s="1"/>
  <c r="P31" i="3"/>
  <c r="P32" i="20" s="1"/>
  <c r="P5" i="3"/>
  <c r="P6" i="20" s="1"/>
  <c r="N30" i="18"/>
  <c r="K30" i="18"/>
  <c r="L30" i="18" s="1"/>
  <c r="J30" i="18"/>
  <c r="K29" i="18"/>
  <c r="L29" i="18" s="1"/>
  <c r="J29" i="18"/>
  <c r="N29" i="18" s="1"/>
  <c r="K28" i="18"/>
  <c r="J28" i="18"/>
  <c r="N28" i="18" s="1"/>
  <c r="N27" i="18"/>
  <c r="K27" i="18"/>
  <c r="L27" i="18" s="1"/>
  <c r="J27" i="18"/>
  <c r="K26" i="18"/>
  <c r="J26" i="18"/>
  <c r="N26" i="18" s="1"/>
  <c r="K25" i="18"/>
  <c r="J25" i="18"/>
  <c r="N25" i="18" s="1"/>
  <c r="N24" i="18"/>
  <c r="L24" i="18"/>
  <c r="K24" i="18"/>
  <c r="J24" i="18"/>
  <c r="K23" i="18"/>
  <c r="J23" i="18"/>
  <c r="N23" i="18" s="1"/>
  <c r="K22" i="18"/>
  <c r="J22" i="18"/>
  <c r="N22" i="18" s="1"/>
  <c r="N21" i="18"/>
  <c r="K21" i="18"/>
  <c r="L21" i="18" s="1"/>
  <c r="J21" i="18"/>
  <c r="K20" i="18"/>
  <c r="L20" i="18" s="1"/>
  <c r="J20" i="18"/>
  <c r="N20" i="18" s="1"/>
  <c r="K19" i="18"/>
  <c r="J19" i="18"/>
  <c r="L19" i="18" s="1"/>
  <c r="K18" i="18"/>
  <c r="L18" i="18" s="1"/>
  <c r="J18" i="18"/>
  <c r="N18" i="18" s="1"/>
  <c r="K17" i="18"/>
  <c r="L17" i="18" s="1"/>
  <c r="J17" i="18"/>
  <c r="N17" i="18" s="1"/>
  <c r="K16" i="18"/>
  <c r="L16" i="18" s="1"/>
  <c r="J16" i="18"/>
  <c r="N16" i="18" s="1"/>
  <c r="K15" i="18"/>
  <c r="J15" i="18"/>
  <c r="N15" i="18" s="1"/>
  <c r="K14" i="18"/>
  <c r="L14" i="18" s="1"/>
  <c r="J14" i="18"/>
  <c r="N14" i="18" s="1"/>
  <c r="K13" i="18"/>
  <c r="J13" i="18"/>
  <c r="N13" i="18" s="1"/>
  <c r="L12" i="18"/>
  <c r="K12" i="18"/>
  <c r="J12" i="18"/>
  <c r="N12" i="18" s="1"/>
  <c r="K11" i="18"/>
  <c r="J11" i="18"/>
  <c r="L11" i="18" s="1"/>
  <c r="K10" i="18"/>
  <c r="J10" i="18"/>
  <c r="N10" i="18" s="1"/>
  <c r="K9" i="18"/>
  <c r="L9" i="18" s="1"/>
  <c r="J9" i="18"/>
  <c r="N9" i="18" s="1"/>
  <c r="K8" i="18"/>
  <c r="L8" i="18" s="1"/>
  <c r="J8" i="18"/>
  <c r="N8" i="18" s="1"/>
  <c r="K7" i="18"/>
  <c r="J7" i="18"/>
  <c r="N7" i="18" s="1"/>
  <c r="K6" i="18"/>
  <c r="L6" i="18" s="1"/>
  <c r="J6" i="18"/>
  <c r="N6" i="18" s="1"/>
  <c r="N5" i="18"/>
  <c r="K5" i="18"/>
  <c r="L5" i="18" s="1"/>
  <c r="J5" i="18"/>
  <c r="K4" i="18"/>
  <c r="J4" i="18"/>
  <c r="N4" i="18" s="1"/>
  <c r="K3" i="18"/>
  <c r="J3" i="18"/>
  <c r="O6" i="3"/>
  <c r="O7" i="20" s="1"/>
  <c r="O7" i="3"/>
  <c r="O8" i="20" s="1"/>
  <c r="O8" i="3"/>
  <c r="O9" i="20" s="1"/>
  <c r="O9" i="3"/>
  <c r="O10" i="20" s="1"/>
  <c r="O10" i="3"/>
  <c r="O11" i="20" s="1"/>
  <c r="O11" i="3"/>
  <c r="O12" i="20" s="1"/>
  <c r="O12" i="3"/>
  <c r="O13" i="20" s="1"/>
  <c r="O13" i="3"/>
  <c r="O14" i="20" s="1"/>
  <c r="O14" i="3"/>
  <c r="O15" i="20" s="1"/>
  <c r="O15" i="3"/>
  <c r="O16" i="20" s="1"/>
  <c r="O16" i="3"/>
  <c r="O17" i="20" s="1"/>
  <c r="O17" i="3"/>
  <c r="O18" i="20" s="1"/>
  <c r="O18" i="3"/>
  <c r="O19" i="20" s="1"/>
  <c r="O19" i="3"/>
  <c r="O20" i="20" s="1"/>
  <c r="O20" i="3"/>
  <c r="O21" i="20" s="1"/>
  <c r="O88" i="20" s="1"/>
  <c r="O89" i="20" s="1"/>
  <c r="O90" i="20" s="1"/>
  <c r="O21" i="3"/>
  <c r="O22" i="20" s="1"/>
  <c r="O22" i="3"/>
  <c r="O23" i="20" s="1"/>
  <c r="O23" i="3"/>
  <c r="O24" i="20" s="1"/>
  <c r="O24" i="3"/>
  <c r="O25" i="20" s="1"/>
  <c r="O25" i="3"/>
  <c r="O26" i="20" s="1"/>
  <c r="O26" i="3"/>
  <c r="O27" i="20" s="1"/>
  <c r="O27" i="3"/>
  <c r="O28" i="20" s="1"/>
  <c r="O28" i="3"/>
  <c r="O29" i="20" s="1"/>
  <c r="O29" i="3"/>
  <c r="O30" i="20" s="1"/>
  <c r="O30" i="3"/>
  <c r="O31" i="20" s="1"/>
  <c r="O31" i="3"/>
  <c r="O32" i="20" s="1"/>
  <c r="O5" i="3"/>
  <c r="O6" i="20" s="1"/>
  <c r="N6" i="3"/>
  <c r="N7" i="20" s="1"/>
  <c r="N7" i="3"/>
  <c r="N8" i="20" s="1"/>
  <c r="N8" i="3"/>
  <c r="N9" i="20" s="1"/>
  <c r="N9" i="3"/>
  <c r="N10" i="20" s="1"/>
  <c r="N10" i="3"/>
  <c r="N11" i="20" s="1"/>
  <c r="N11" i="3"/>
  <c r="N12" i="20" s="1"/>
  <c r="N12" i="3"/>
  <c r="N13" i="20" s="1"/>
  <c r="N13" i="3"/>
  <c r="N14" i="20" s="1"/>
  <c r="N14" i="3"/>
  <c r="N15" i="20" s="1"/>
  <c r="N15" i="3"/>
  <c r="N16" i="20" s="1"/>
  <c r="N16" i="3"/>
  <c r="N17" i="20" s="1"/>
  <c r="N17" i="3"/>
  <c r="N18" i="20" s="1"/>
  <c r="N18" i="3"/>
  <c r="N19" i="20" s="1"/>
  <c r="N19" i="3"/>
  <c r="N20" i="20" s="1"/>
  <c r="N20" i="3"/>
  <c r="N21" i="20" s="1"/>
  <c r="N88" i="20" s="1"/>
  <c r="N89" i="20" s="1"/>
  <c r="N90" i="20" s="1"/>
  <c r="N21" i="3"/>
  <c r="N22" i="20" s="1"/>
  <c r="N22" i="3"/>
  <c r="N23" i="20" s="1"/>
  <c r="N23" i="3"/>
  <c r="N24" i="20" s="1"/>
  <c r="N24" i="3"/>
  <c r="N25" i="20" s="1"/>
  <c r="N25" i="3"/>
  <c r="N26" i="20" s="1"/>
  <c r="N26" i="3"/>
  <c r="N27" i="20" s="1"/>
  <c r="N27" i="3"/>
  <c r="N28" i="20" s="1"/>
  <c r="N28" i="3"/>
  <c r="N29" i="20" s="1"/>
  <c r="N29" i="3"/>
  <c r="N30" i="20" s="1"/>
  <c r="N30" i="3"/>
  <c r="N31" i="20" s="1"/>
  <c r="N31" i="3"/>
  <c r="N32" i="20" s="1"/>
  <c r="N5" i="3"/>
  <c r="N6" i="20" s="1"/>
  <c r="K30" i="16"/>
  <c r="L30" i="16" s="1"/>
  <c r="J30" i="16"/>
  <c r="N30" i="16" s="1"/>
  <c r="K29" i="16"/>
  <c r="J29" i="16"/>
  <c r="N29" i="16" s="1"/>
  <c r="N28" i="16"/>
  <c r="K28" i="16"/>
  <c r="L28" i="16" s="1"/>
  <c r="J28" i="16"/>
  <c r="K27" i="16"/>
  <c r="L27" i="16" s="1"/>
  <c r="J27" i="16"/>
  <c r="N27" i="16" s="1"/>
  <c r="K26" i="16"/>
  <c r="J26" i="16"/>
  <c r="N26" i="16" s="1"/>
  <c r="K25" i="16"/>
  <c r="L25" i="16" s="1"/>
  <c r="J25" i="16"/>
  <c r="N25" i="16" s="1"/>
  <c r="K24" i="16"/>
  <c r="J24" i="16"/>
  <c r="N24" i="16" s="1"/>
  <c r="K23" i="16"/>
  <c r="J23" i="16"/>
  <c r="N23" i="16" s="1"/>
  <c r="N22" i="16"/>
  <c r="K22" i="16"/>
  <c r="L22" i="16" s="1"/>
  <c r="J22" i="16"/>
  <c r="K21" i="16"/>
  <c r="J21" i="16"/>
  <c r="N21" i="16" s="1"/>
  <c r="K20" i="16"/>
  <c r="J20" i="16"/>
  <c r="N20" i="16" s="1"/>
  <c r="K19" i="16"/>
  <c r="L19" i="16" s="1"/>
  <c r="J19" i="16"/>
  <c r="N19" i="16" s="1"/>
  <c r="K18" i="16"/>
  <c r="L18" i="16" s="1"/>
  <c r="J18" i="16"/>
  <c r="N18" i="16" s="1"/>
  <c r="K17" i="16"/>
  <c r="L17" i="16" s="1"/>
  <c r="J17" i="16"/>
  <c r="N17" i="16" s="1"/>
  <c r="K16" i="16"/>
  <c r="L16" i="16" s="1"/>
  <c r="J16" i="16"/>
  <c r="N16" i="16" s="1"/>
  <c r="K15" i="16"/>
  <c r="L15" i="16" s="1"/>
  <c r="J15" i="16"/>
  <c r="N15" i="16" s="1"/>
  <c r="N14" i="16"/>
  <c r="K14" i="16"/>
  <c r="L14" i="16" s="1"/>
  <c r="J14" i="16"/>
  <c r="K13" i="16"/>
  <c r="L13" i="16" s="1"/>
  <c r="J13" i="16"/>
  <c r="N13" i="16" s="1"/>
  <c r="K12" i="16"/>
  <c r="L12" i="16" s="1"/>
  <c r="J12" i="16"/>
  <c r="N12" i="16" s="1"/>
  <c r="K11" i="16"/>
  <c r="L11" i="16" s="1"/>
  <c r="J11" i="16"/>
  <c r="N11" i="16" s="1"/>
  <c r="N10" i="16"/>
  <c r="K10" i="16"/>
  <c r="J10" i="16"/>
  <c r="L9" i="16"/>
  <c r="K9" i="16"/>
  <c r="J9" i="16"/>
  <c r="N9" i="16" s="1"/>
  <c r="K8" i="16"/>
  <c r="L8" i="16" s="1"/>
  <c r="J8" i="16"/>
  <c r="N8" i="16" s="1"/>
  <c r="L7" i="16"/>
  <c r="K7" i="16"/>
  <c r="J7" i="16"/>
  <c r="N7" i="16" s="1"/>
  <c r="N6" i="16"/>
  <c r="P1" i="16" s="1"/>
  <c r="K6" i="16"/>
  <c r="L6" i="16" s="1"/>
  <c r="J6" i="16"/>
  <c r="K5" i="16"/>
  <c r="L5" i="16" s="1"/>
  <c r="J5" i="16"/>
  <c r="N5" i="16" s="1"/>
  <c r="N4" i="16"/>
  <c r="K4" i="16"/>
  <c r="J4" i="16"/>
  <c r="K3" i="16"/>
  <c r="J3" i="16"/>
  <c r="K30" i="15"/>
  <c r="J30" i="15"/>
  <c r="N30" i="15" s="1"/>
  <c r="K29" i="15"/>
  <c r="J29" i="15"/>
  <c r="N29" i="15" s="1"/>
  <c r="K28" i="15"/>
  <c r="L28" i="15" s="1"/>
  <c r="J28" i="15"/>
  <c r="N28" i="15" s="1"/>
  <c r="K27" i="15"/>
  <c r="L27" i="15" s="1"/>
  <c r="J27" i="15"/>
  <c r="N27" i="15" s="1"/>
  <c r="N26" i="15"/>
  <c r="K26" i="15"/>
  <c r="L26" i="15" s="1"/>
  <c r="J26" i="15"/>
  <c r="K25" i="15"/>
  <c r="J25" i="15"/>
  <c r="N24" i="15"/>
  <c r="K24" i="15"/>
  <c r="L24" i="15" s="1"/>
  <c r="J24" i="15"/>
  <c r="K23" i="15"/>
  <c r="J23" i="15"/>
  <c r="N23" i="15" s="1"/>
  <c r="L22" i="15"/>
  <c r="K22" i="15"/>
  <c r="J22" i="15"/>
  <c r="N22" i="15" s="1"/>
  <c r="O22" i="15" s="1"/>
  <c r="L21" i="15"/>
  <c r="K21" i="15"/>
  <c r="J21" i="15"/>
  <c r="N21" i="15" s="1"/>
  <c r="K20" i="15"/>
  <c r="L20" i="15" s="1"/>
  <c r="J20" i="15"/>
  <c r="N20" i="15" s="1"/>
  <c r="K19" i="15"/>
  <c r="L19" i="15" s="1"/>
  <c r="J19" i="15"/>
  <c r="N19" i="15" s="1"/>
  <c r="N18" i="15"/>
  <c r="O18" i="15" s="1"/>
  <c r="K18" i="15"/>
  <c r="L18" i="15" s="1"/>
  <c r="J18" i="15"/>
  <c r="N17" i="15"/>
  <c r="K17" i="15"/>
  <c r="J17" i="15"/>
  <c r="K16" i="15"/>
  <c r="L16" i="15" s="1"/>
  <c r="J16" i="15"/>
  <c r="N16" i="15" s="1"/>
  <c r="K15" i="15"/>
  <c r="J15" i="15"/>
  <c r="N15" i="15" s="1"/>
  <c r="K14" i="15"/>
  <c r="L14" i="15" s="1"/>
  <c r="J14" i="15"/>
  <c r="N14" i="15" s="1"/>
  <c r="O14" i="15" s="1"/>
  <c r="L13" i="15"/>
  <c r="K13" i="15"/>
  <c r="J13" i="15"/>
  <c r="N13" i="15" s="1"/>
  <c r="O13" i="15" s="1"/>
  <c r="K12" i="15"/>
  <c r="L12" i="15" s="1"/>
  <c r="J12" i="15"/>
  <c r="N12" i="15" s="1"/>
  <c r="K11" i="15"/>
  <c r="J11" i="15"/>
  <c r="N11" i="15" s="1"/>
  <c r="O11" i="15" s="1"/>
  <c r="K10" i="15"/>
  <c r="L10" i="15" s="1"/>
  <c r="J10" i="15"/>
  <c r="N10" i="15" s="1"/>
  <c r="O10" i="15" s="1"/>
  <c r="N9" i="15"/>
  <c r="O9" i="15" s="1"/>
  <c r="K9" i="15"/>
  <c r="J9" i="15"/>
  <c r="K8" i="15"/>
  <c r="J8" i="15"/>
  <c r="N8" i="15" s="1"/>
  <c r="O8" i="15" s="1"/>
  <c r="K7" i="15"/>
  <c r="J7" i="15"/>
  <c r="N7" i="15" s="1"/>
  <c r="O7" i="15" s="1"/>
  <c r="N6" i="15"/>
  <c r="L6" i="15"/>
  <c r="K6" i="15"/>
  <c r="J6" i="15"/>
  <c r="K5" i="15"/>
  <c r="L5" i="15" s="1"/>
  <c r="J5" i="15"/>
  <c r="N5" i="15" s="1"/>
  <c r="O5" i="15" s="1"/>
  <c r="K4" i="15"/>
  <c r="L4" i="15" s="1"/>
  <c r="J4" i="15"/>
  <c r="N4" i="15" s="1"/>
  <c r="O4" i="15" s="1"/>
  <c r="K3" i="15"/>
  <c r="J3" i="15"/>
  <c r="P1" i="15"/>
  <c r="P1" i="14"/>
  <c r="M10" i="3"/>
  <c r="M11" i="20" s="1"/>
  <c r="N30" i="14"/>
  <c r="L30" i="14"/>
  <c r="K30" i="14"/>
  <c r="J30" i="14"/>
  <c r="L29" i="14"/>
  <c r="K29" i="14"/>
  <c r="J29" i="14"/>
  <c r="N29" i="14" s="1"/>
  <c r="K28" i="14"/>
  <c r="L28" i="14" s="1"/>
  <c r="J28" i="14"/>
  <c r="N28" i="14" s="1"/>
  <c r="L27" i="14"/>
  <c r="K27" i="14"/>
  <c r="J27" i="14"/>
  <c r="N27" i="14" s="1"/>
  <c r="O27" i="14" s="1"/>
  <c r="M28" i="3" s="1"/>
  <c r="M29" i="20" s="1"/>
  <c r="K26" i="14"/>
  <c r="L26" i="14" s="1"/>
  <c r="J26" i="14"/>
  <c r="N26" i="14" s="1"/>
  <c r="L25" i="14"/>
  <c r="K25" i="14"/>
  <c r="J25" i="14"/>
  <c r="N25" i="14" s="1"/>
  <c r="N24" i="14"/>
  <c r="O24" i="14" s="1"/>
  <c r="M25" i="3" s="1"/>
  <c r="M26" i="20" s="1"/>
  <c r="K24" i="14"/>
  <c r="L24" i="14" s="1"/>
  <c r="J24" i="14"/>
  <c r="K23" i="14"/>
  <c r="L23" i="14" s="1"/>
  <c r="J23" i="14"/>
  <c r="N23" i="14" s="1"/>
  <c r="N22" i="14"/>
  <c r="K22" i="14"/>
  <c r="L22" i="14" s="1"/>
  <c r="J22" i="14"/>
  <c r="K21" i="14"/>
  <c r="J21" i="14"/>
  <c r="L21" i="14" s="1"/>
  <c r="N20" i="14"/>
  <c r="O20" i="14" s="1"/>
  <c r="M21" i="3" s="1"/>
  <c r="M22" i="20" s="1"/>
  <c r="K20" i="14"/>
  <c r="L20" i="14" s="1"/>
  <c r="J20" i="14"/>
  <c r="L19" i="14"/>
  <c r="K19" i="14"/>
  <c r="J19" i="14"/>
  <c r="N19" i="14" s="1"/>
  <c r="K18" i="14"/>
  <c r="L18" i="14" s="1"/>
  <c r="J18" i="14"/>
  <c r="N18" i="14" s="1"/>
  <c r="O18" i="14" s="1"/>
  <c r="M19" i="3" s="1"/>
  <c r="M20" i="20" s="1"/>
  <c r="L17" i="14"/>
  <c r="K17" i="14"/>
  <c r="J17" i="14"/>
  <c r="N17" i="14" s="1"/>
  <c r="N16" i="14"/>
  <c r="K16" i="14"/>
  <c r="L16" i="14" s="1"/>
  <c r="J16" i="14"/>
  <c r="K15" i="14"/>
  <c r="L15" i="14" s="1"/>
  <c r="J15" i="14"/>
  <c r="N15" i="14" s="1"/>
  <c r="O15" i="14" s="1"/>
  <c r="M16" i="3" s="1"/>
  <c r="M17" i="20" s="1"/>
  <c r="N14" i="14"/>
  <c r="O14" i="14" s="1"/>
  <c r="M15" i="3" s="1"/>
  <c r="M16" i="20" s="1"/>
  <c r="K14" i="14"/>
  <c r="L14" i="14" s="1"/>
  <c r="J14" i="14"/>
  <c r="K13" i="14"/>
  <c r="J13" i="14"/>
  <c r="N13" i="14" s="1"/>
  <c r="N12" i="14"/>
  <c r="K12" i="14"/>
  <c r="L12" i="14" s="1"/>
  <c r="J12" i="14"/>
  <c r="L11" i="14"/>
  <c r="K11" i="14"/>
  <c r="J11" i="14"/>
  <c r="N11" i="14" s="1"/>
  <c r="N10" i="14"/>
  <c r="K10" i="14"/>
  <c r="L10" i="14" s="1"/>
  <c r="J10" i="14"/>
  <c r="L9" i="14"/>
  <c r="K9" i="14"/>
  <c r="J9" i="14"/>
  <c r="N9" i="14" s="1"/>
  <c r="O9" i="14" s="1"/>
  <c r="N8" i="14"/>
  <c r="O8" i="14" s="1"/>
  <c r="M9" i="3" s="1"/>
  <c r="M10" i="20" s="1"/>
  <c r="K8" i="14"/>
  <c r="L8" i="14" s="1"/>
  <c r="J8" i="14"/>
  <c r="K7" i="14"/>
  <c r="L7" i="14" s="1"/>
  <c r="J7" i="14"/>
  <c r="N7" i="14" s="1"/>
  <c r="N6" i="14"/>
  <c r="O6" i="14" s="1"/>
  <c r="M7" i="3" s="1"/>
  <c r="M8" i="20" s="1"/>
  <c r="K6" i="14"/>
  <c r="L6" i="14" s="1"/>
  <c r="J6" i="14"/>
  <c r="K5" i="14"/>
  <c r="J5" i="14"/>
  <c r="L5" i="14" s="1"/>
  <c r="N4" i="14"/>
  <c r="K4" i="14"/>
  <c r="L4" i="14" s="1"/>
  <c r="J4" i="14"/>
  <c r="K3" i="14"/>
  <c r="J3" i="14"/>
  <c r="L6" i="3"/>
  <c r="L7" i="20" s="1"/>
  <c r="L7" i="3"/>
  <c r="L8" i="20" s="1"/>
  <c r="L8" i="3"/>
  <c r="L9" i="20" s="1"/>
  <c r="L9" i="3"/>
  <c r="L10" i="20" s="1"/>
  <c r="L10" i="3"/>
  <c r="L11" i="20" s="1"/>
  <c r="L11" i="3"/>
  <c r="L12" i="20" s="1"/>
  <c r="L12" i="3"/>
  <c r="L13" i="20" s="1"/>
  <c r="L13" i="3"/>
  <c r="L14" i="20" s="1"/>
  <c r="L14" i="3"/>
  <c r="L15" i="20" s="1"/>
  <c r="L15" i="3"/>
  <c r="L16" i="20" s="1"/>
  <c r="L16" i="3"/>
  <c r="L17" i="20" s="1"/>
  <c r="L17" i="3"/>
  <c r="L18" i="20" s="1"/>
  <c r="L18" i="3"/>
  <c r="L19" i="20" s="1"/>
  <c r="L19" i="3"/>
  <c r="L20" i="20" s="1"/>
  <c r="L20" i="3"/>
  <c r="L21" i="20" s="1"/>
  <c r="L88" i="20" s="1"/>
  <c r="L89" i="20" s="1"/>
  <c r="L90" i="20" s="1"/>
  <c r="L21" i="3"/>
  <c r="L22" i="20" s="1"/>
  <c r="L22" i="3"/>
  <c r="L23" i="20" s="1"/>
  <c r="L23" i="3"/>
  <c r="L24" i="20" s="1"/>
  <c r="L24" i="3"/>
  <c r="L25" i="20" s="1"/>
  <c r="L25" i="3"/>
  <c r="L26" i="20" s="1"/>
  <c r="L26" i="3"/>
  <c r="L27" i="20" s="1"/>
  <c r="L27" i="3"/>
  <c r="L28" i="20" s="1"/>
  <c r="L28" i="3"/>
  <c r="L29" i="20" s="1"/>
  <c r="L29" i="3"/>
  <c r="L30" i="20" s="1"/>
  <c r="L30" i="3"/>
  <c r="L31" i="20" s="1"/>
  <c r="L31" i="3"/>
  <c r="L32" i="20" s="1"/>
  <c r="L5" i="3"/>
  <c r="L6" i="20" s="1"/>
  <c r="K30" i="13"/>
  <c r="J30" i="13"/>
  <c r="N30" i="13" s="1"/>
  <c r="K29" i="13"/>
  <c r="L29" i="13" s="1"/>
  <c r="J29" i="13"/>
  <c r="N29" i="13" s="1"/>
  <c r="K28" i="13"/>
  <c r="J28" i="13"/>
  <c r="N28" i="13" s="1"/>
  <c r="N27" i="13"/>
  <c r="K27" i="13"/>
  <c r="J27" i="13"/>
  <c r="K26" i="13"/>
  <c r="L26" i="13" s="1"/>
  <c r="J26" i="13"/>
  <c r="N26" i="13" s="1"/>
  <c r="K25" i="13"/>
  <c r="L25" i="13" s="1"/>
  <c r="J25" i="13"/>
  <c r="N25" i="13" s="1"/>
  <c r="N24" i="13"/>
  <c r="K24" i="13"/>
  <c r="L24" i="13" s="1"/>
  <c r="J24" i="13"/>
  <c r="K23" i="13"/>
  <c r="J23" i="13"/>
  <c r="N23" i="13" s="1"/>
  <c r="N22" i="13"/>
  <c r="K22" i="13"/>
  <c r="L22" i="13" s="1"/>
  <c r="J22" i="13"/>
  <c r="K21" i="13"/>
  <c r="J21" i="13"/>
  <c r="N21" i="13" s="1"/>
  <c r="K20" i="13"/>
  <c r="L20" i="13" s="1"/>
  <c r="J20" i="13"/>
  <c r="N20" i="13" s="1"/>
  <c r="N19" i="13"/>
  <c r="K19" i="13"/>
  <c r="J19" i="13"/>
  <c r="K18" i="13"/>
  <c r="J18" i="13"/>
  <c r="N18" i="13" s="1"/>
  <c r="K17" i="13"/>
  <c r="L17" i="13" s="1"/>
  <c r="J17" i="13"/>
  <c r="N17" i="13" s="1"/>
  <c r="N16" i="13"/>
  <c r="L16" i="13"/>
  <c r="K16" i="13"/>
  <c r="J16" i="13"/>
  <c r="K15" i="13"/>
  <c r="L15" i="13" s="1"/>
  <c r="J15" i="13"/>
  <c r="N15" i="13" s="1"/>
  <c r="K14" i="13"/>
  <c r="J14" i="13"/>
  <c r="N14" i="13" s="1"/>
  <c r="K13" i="13"/>
  <c r="J13" i="13"/>
  <c r="N13" i="13" s="1"/>
  <c r="N12" i="13"/>
  <c r="K12" i="13"/>
  <c r="J12" i="13"/>
  <c r="K11" i="13"/>
  <c r="J11" i="13"/>
  <c r="L11" i="13" s="1"/>
  <c r="K10" i="13"/>
  <c r="L10" i="13" s="1"/>
  <c r="J10" i="13"/>
  <c r="N10" i="13" s="1"/>
  <c r="K9" i="13"/>
  <c r="L9" i="13" s="1"/>
  <c r="J9" i="13"/>
  <c r="N9" i="13" s="1"/>
  <c r="K8" i="13"/>
  <c r="L8" i="13" s="1"/>
  <c r="J8" i="13"/>
  <c r="N8" i="13" s="1"/>
  <c r="K7" i="13"/>
  <c r="J7" i="13"/>
  <c r="N7" i="13" s="1"/>
  <c r="K6" i="13"/>
  <c r="L6" i="13" s="1"/>
  <c r="J6" i="13"/>
  <c r="N6" i="13" s="1"/>
  <c r="K5" i="13"/>
  <c r="J5" i="13"/>
  <c r="N5" i="13" s="1"/>
  <c r="K4" i="13"/>
  <c r="J4" i="13"/>
  <c r="N4" i="13" s="1"/>
  <c r="K3" i="13"/>
  <c r="J3" i="13"/>
  <c r="K6" i="3"/>
  <c r="K7" i="20" s="1"/>
  <c r="K7" i="3"/>
  <c r="K8" i="20" s="1"/>
  <c r="K8" i="3"/>
  <c r="K9" i="20" s="1"/>
  <c r="K9" i="3"/>
  <c r="K10" i="20" s="1"/>
  <c r="K10" i="3"/>
  <c r="K11" i="20" s="1"/>
  <c r="K11" i="3"/>
  <c r="K12" i="20" s="1"/>
  <c r="K12" i="3"/>
  <c r="K13" i="20" s="1"/>
  <c r="K13" i="3"/>
  <c r="K14" i="20" s="1"/>
  <c r="K14" i="3"/>
  <c r="K15" i="20" s="1"/>
  <c r="K15" i="3"/>
  <c r="K16" i="20" s="1"/>
  <c r="K16" i="3"/>
  <c r="K17" i="20" s="1"/>
  <c r="K17" i="3"/>
  <c r="K18" i="20" s="1"/>
  <c r="K18" i="3"/>
  <c r="K19" i="20" s="1"/>
  <c r="K19" i="3"/>
  <c r="K20" i="20" s="1"/>
  <c r="K20" i="3"/>
  <c r="K21" i="20" s="1"/>
  <c r="K88" i="20" s="1"/>
  <c r="K89" i="20" s="1"/>
  <c r="K90" i="20" s="1"/>
  <c r="K21" i="3"/>
  <c r="K22" i="20" s="1"/>
  <c r="K22" i="3"/>
  <c r="K23" i="20" s="1"/>
  <c r="K23" i="3"/>
  <c r="K24" i="20" s="1"/>
  <c r="K24" i="3"/>
  <c r="K25" i="20" s="1"/>
  <c r="K25" i="3"/>
  <c r="K26" i="20" s="1"/>
  <c r="K26" i="3"/>
  <c r="K27" i="20" s="1"/>
  <c r="K27" i="3"/>
  <c r="K28" i="20" s="1"/>
  <c r="K28" i="3"/>
  <c r="K29" i="20" s="1"/>
  <c r="K29" i="3"/>
  <c r="K30" i="20" s="1"/>
  <c r="K30" i="3"/>
  <c r="K31" i="20" s="1"/>
  <c r="K31" i="3"/>
  <c r="K32" i="20" s="1"/>
  <c r="K5" i="3"/>
  <c r="K6" i="20" s="1"/>
  <c r="J6" i="3"/>
  <c r="J7" i="20" s="1"/>
  <c r="J7" i="3"/>
  <c r="J8" i="20" s="1"/>
  <c r="J8" i="3"/>
  <c r="J9" i="20" s="1"/>
  <c r="J9" i="3"/>
  <c r="J10" i="20" s="1"/>
  <c r="J10" i="3"/>
  <c r="J11" i="20" s="1"/>
  <c r="J11" i="3"/>
  <c r="J12" i="20" s="1"/>
  <c r="J12" i="3"/>
  <c r="J13" i="20" s="1"/>
  <c r="J13" i="3"/>
  <c r="J14" i="20" s="1"/>
  <c r="J14" i="3"/>
  <c r="J15" i="20" s="1"/>
  <c r="J15" i="3"/>
  <c r="J16" i="20" s="1"/>
  <c r="J16" i="3"/>
  <c r="J17" i="20" s="1"/>
  <c r="J17" i="3"/>
  <c r="J18" i="20" s="1"/>
  <c r="J18" i="3"/>
  <c r="J19" i="20" s="1"/>
  <c r="J19" i="3"/>
  <c r="J20" i="20" s="1"/>
  <c r="J20" i="3"/>
  <c r="J21" i="20" s="1"/>
  <c r="J88" i="20" s="1"/>
  <c r="J89" i="20" s="1"/>
  <c r="J90" i="20" s="1"/>
  <c r="J21" i="3"/>
  <c r="J22" i="20" s="1"/>
  <c r="J22" i="3"/>
  <c r="J23" i="20" s="1"/>
  <c r="J23" i="3"/>
  <c r="J24" i="20" s="1"/>
  <c r="J24" i="3"/>
  <c r="J25" i="20" s="1"/>
  <c r="J25" i="3"/>
  <c r="J26" i="20" s="1"/>
  <c r="J26" i="3"/>
  <c r="J27" i="20" s="1"/>
  <c r="J27" i="3"/>
  <c r="J28" i="20" s="1"/>
  <c r="J28" i="3"/>
  <c r="J29" i="20" s="1"/>
  <c r="J29" i="3"/>
  <c r="J30" i="20" s="1"/>
  <c r="J30" i="3"/>
  <c r="J31" i="20" s="1"/>
  <c r="J31" i="3"/>
  <c r="J32" i="20" s="1"/>
  <c r="J5" i="3"/>
  <c r="J6" i="20" s="1"/>
  <c r="K30" i="12"/>
  <c r="L30" i="12" s="1"/>
  <c r="J30" i="12"/>
  <c r="N30" i="12" s="1"/>
  <c r="K29" i="12"/>
  <c r="L29" i="12" s="1"/>
  <c r="J29" i="12"/>
  <c r="N29" i="12" s="1"/>
  <c r="K28" i="12"/>
  <c r="J28" i="12"/>
  <c r="N28" i="12" s="1"/>
  <c r="N27" i="12"/>
  <c r="K27" i="12"/>
  <c r="J27" i="12"/>
  <c r="K26" i="12"/>
  <c r="J26" i="12"/>
  <c r="N26" i="12" s="1"/>
  <c r="K25" i="12"/>
  <c r="L25" i="12" s="1"/>
  <c r="J25" i="12"/>
  <c r="N25" i="12" s="1"/>
  <c r="K24" i="12"/>
  <c r="L24" i="12" s="1"/>
  <c r="J24" i="12"/>
  <c r="N24" i="12" s="1"/>
  <c r="N23" i="12"/>
  <c r="K23" i="12"/>
  <c r="L23" i="12" s="1"/>
  <c r="J23" i="12"/>
  <c r="K22" i="12"/>
  <c r="L22" i="12" s="1"/>
  <c r="J22" i="12"/>
  <c r="N22" i="12" s="1"/>
  <c r="K21" i="12"/>
  <c r="L21" i="12" s="1"/>
  <c r="J21" i="12"/>
  <c r="N21" i="12" s="1"/>
  <c r="N20" i="12"/>
  <c r="K20" i="12"/>
  <c r="L20" i="12" s="1"/>
  <c r="J20" i="12"/>
  <c r="N19" i="12"/>
  <c r="K19" i="12"/>
  <c r="L19" i="12" s="1"/>
  <c r="J19" i="12"/>
  <c r="N18" i="12"/>
  <c r="K18" i="12"/>
  <c r="L18" i="12" s="1"/>
  <c r="J18" i="12"/>
  <c r="K17" i="12"/>
  <c r="L17" i="12" s="1"/>
  <c r="J17" i="12"/>
  <c r="N17" i="12" s="1"/>
  <c r="N16" i="12"/>
  <c r="L16" i="12"/>
  <c r="K16" i="12"/>
  <c r="J16" i="12"/>
  <c r="N15" i="12"/>
  <c r="K15" i="12"/>
  <c r="L15" i="12" s="1"/>
  <c r="J15" i="12"/>
  <c r="K14" i="12"/>
  <c r="L14" i="12" s="1"/>
  <c r="J14" i="12"/>
  <c r="N14" i="12" s="1"/>
  <c r="K13" i="12"/>
  <c r="L13" i="12" s="1"/>
  <c r="J13" i="12"/>
  <c r="N13" i="12" s="1"/>
  <c r="N12" i="12"/>
  <c r="K12" i="12"/>
  <c r="L12" i="12" s="1"/>
  <c r="J12" i="12"/>
  <c r="N11" i="12"/>
  <c r="K11" i="12"/>
  <c r="L11" i="12" s="1"/>
  <c r="J11" i="12"/>
  <c r="K10" i="12"/>
  <c r="L10" i="12" s="1"/>
  <c r="J10" i="12"/>
  <c r="N10" i="12" s="1"/>
  <c r="K9" i="12"/>
  <c r="J9" i="12"/>
  <c r="N9" i="12" s="1"/>
  <c r="L8" i="12"/>
  <c r="K8" i="12"/>
  <c r="J8" i="12"/>
  <c r="N8" i="12" s="1"/>
  <c r="K7" i="12"/>
  <c r="J7" i="12"/>
  <c r="N7" i="12" s="1"/>
  <c r="K6" i="12"/>
  <c r="J6" i="12"/>
  <c r="N6" i="12" s="1"/>
  <c r="K5" i="12"/>
  <c r="J5" i="12"/>
  <c r="N5" i="12" s="1"/>
  <c r="N4" i="12"/>
  <c r="K4" i="12"/>
  <c r="J4" i="12"/>
  <c r="K3" i="12"/>
  <c r="J3" i="12"/>
  <c r="I6" i="3"/>
  <c r="I7" i="20" s="1"/>
  <c r="I7" i="3"/>
  <c r="I8" i="20" s="1"/>
  <c r="I8" i="3"/>
  <c r="I9" i="20" s="1"/>
  <c r="I9" i="3"/>
  <c r="I10" i="20" s="1"/>
  <c r="I10" i="3"/>
  <c r="I11" i="20" s="1"/>
  <c r="I11" i="3"/>
  <c r="I12" i="20" s="1"/>
  <c r="I12" i="3"/>
  <c r="I13" i="20" s="1"/>
  <c r="I13" i="3"/>
  <c r="I14" i="20" s="1"/>
  <c r="I14" i="3"/>
  <c r="I15" i="20" s="1"/>
  <c r="I15" i="3"/>
  <c r="I16" i="20" s="1"/>
  <c r="I16" i="3"/>
  <c r="I17" i="20" s="1"/>
  <c r="I17" i="3"/>
  <c r="I18" i="20" s="1"/>
  <c r="I18" i="3"/>
  <c r="I19" i="20" s="1"/>
  <c r="I19" i="3"/>
  <c r="I20" i="20" s="1"/>
  <c r="I20" i="3"/>
  <c r="I21" i="20" s="1"/>
  <c r="I88" i="20" s="1"/>
  <c r="I89" i="20" s="1"/>
  <c r="I90" i="20" s="1"/>
  <c r="I21" i="3"/>
  <c r="I22" i="20" s="1"/>
  <c r="I22" i="3"/>
  <c r="I23" i="20" s="1"/>
  <c r="I23" i="3"/>
  <c r="I24" i="20" s="1"/>
  <c r="I24" i="3"/>
  <c r="I25" i="20" s="1"/>
  <c r="I25" i="3"/>
  <c r="I26" i="20" s="1"/>
  <c r="I26" i="3"/>
  <c r="I27" i="20" s="1"/>
  <c r="I27" i="3"/>
  <c r="I28" i="20" s="1"/>
  <c r="I28" i="3"/>
  <c r="I29" i="20" s="1"/>
  <c r="I29" i="3"/>
  <c r="I30" i="20" s="1"/>
  <c r="I30" i="3"/>
  <c r="I31" i="20" s="1"/>
  <c r="I31" i="3"/>
  <c r="I32" i="20" s="1"/>
  <c r="I5" i="3"/>
  <c r="I6" i="20" s="1"/>
  <c r="K30" i="11"/>
  <c r="L30" i="11" s="1"/>
  <c r="J30" i="11"/>
  <c r="N30" i="11" s="1"/>
  <c r="K29" i="11"/>
  <c r="J29" i="11"/>
  <c r="N29" i="11" s="1"/>
  <c r="K28" i="11"/>
  <c r="L28" i="11" s="1"/>
  <c r="J28" i="11"/>
  <c r="N28" i="11" s="1"/>
  <c r="K27" i="11"/>
  <c r="J27" i="11"/>
  <c r="N27" i="11" s="1"/>
  <c r="K26" i="11"/>
  <c r="J26" i="11"/>
  <c r="N26" i="11" s="1"/>
  <c r="K25" i="11"/>
  <c r="L25" i="11" s="1"/>
  <c r="J25" i="11"/>
  <c r="N25" i="11" s="1"/>
  <c r="K24" i="11"/>
  <c r="J24" i="11"/>
  <c r="N24" i="11" s="1"/>
  <c r="K23" i="11"/>
  <c r="J23" i="11"/>
  <c r="N23" i="11" s="1"/>
  <c r="K22" i="11"/>
  <c r="L22" i="11" s="1"/>
  <c r="J22" i="11"/>
  <c r="N22" i="11" s="1"/>
  <c r="K21" i="11"/>
  <c r="L21" i="11" s="1"/>
  <c r="J21" i="11"/>
  <c r="N21" i="11" s="1"/>
  <c r="L20" i="11"/>
  <c r="K20" i="11"/>
  <c r="J20" i="11"/>
  <c r="N20" i="11" s="1"/>
  <c r="K19" i="11"/>
  <c r="L19" i="11" s="1"/>
  <c r="J19" i="11"/>
  <c r="N19" i="11" s="1"/>
  <c r="K18" i="11"/>
  <c r="J18" i="11"/>
  <c r="N18" i="11" s="1"/>
  <c r="N17" i="11"/>
  <c r="K17" i="11"/>
  <c r="L17" i="11" s="1"/>
  <c r="J17" i="11"/>
  <c r="K16" i="11"/>
  <c r="L16" i="11" s="1"/>
  <c r="J16" i="11"/>
  <c r="N16" i="11" s="1"/>
  <c r="K15" i="11"/>
  <c r="J15" i="11"/>
  <c r="N15" i="11" s="1"/>
  <c r="L14" i="11"/>
  <c r="K14" i="11"/>
  <c r="J14" i="11"/>
  <c r="N14" i="11" s="1"/>
  <c r="K13" i="11"/>
  <c r="L13" i="11" s="1"/>
  <c r="J13" i="11"/>
  <c r="N13" i="11" s="1"/>
  <c r="L12" i="11"/>
  <c r="K12" i="11"/>
  <c r="J12" i="11"/>
  <c r="N12" i="11" s="1"/>
  <c r="K11" i="11"/>
  <c r="J11" i="11"/>
  <c r="N11" i="11" s="1"/>
  <c r="K10" i="11"/>
  <c r="J10" i="11"/>
  <c r="N10" i="11" s="1"/>
  <c r="N9" i="11"/>
  <c r="K9" i="11"/>
  <c r="L9" i="11" s="1"/>
  <c r="J9" i="11"/>
  <c r="K8" i="11"/>
  <c r="J8" i="11"/>
  <c r="N8" i="11" s="1"/>
  <c r="K7" i="11"/>
  <c r="J7" i="11"/>
  <c r="N7" i="11" s="1"/>
  <c r="L6" i="11"/>
  <c r="K6" i="11"/>
  <c r="J6" i="11"/>
  <c r="N6" i="11" s="1"/>
  <c r="L5" i="11"/>
  <c r="K5" i="11"/>
  <c r="J5" i="11"/>
  <c r="N5" i="11" s="1"/>
  <c r="K4" i="11"/>
  <c r="J4" i="11"/>
  <c r="N4" i="11" s="1"/>
  <c r="K3" i="11"/>
  <c r="J3" i="11"/>
  <c r="H6" i="3"/>
  <c r="H7" i="20" s="1"/>
  <c r="H7" i="3"/>
  <c r="H8" i="20" s="1"/>
  <c r="H8" i="3"/>
  <c r="H9" i="20" s="1"/>
  <c r="H9" i="3"/>
  <c r="H10" i="20" s="1"/>
  <c r="H10" i="3"/>
  <c r="H11" i="20" s="1"/>
  <c r="H11" i="3"/>
  <c r="H12" i="20" s="1"/>
  <c r="H12" i="3"/>
  <c r="H13" i="20" s="1"/>
  <c r="H13" i="3"/>
  <c r="H14" i="20" s="1"/>
  <c r="H14" i="3"/>
  <c r="H15" i="20" s="1"/>
  <c r="H15" i="3"/>
  <c r="H16" i="20" s="1"/>
  <c r="H16" i="3"/>
  <c r="H17" i="20" s="1"/>
  <c r="H17" i="3"/>
  <c r="H18" i="20" s="1"/>
  <c r="H18" i="3"/>
  <c r="H19" i="20" s="1"/>
  <c r="H19" i="3"/>
  <c r="H20" i="20" s="1"/>
  <c r="H20" i="3"/>
  <c r="H21" i="20" s="1"/>
  <c r="H88" i="20" s="1"/>
  <c r="H89" i="20" s="1"/>
  <c r="H90" i="20" s="1"/>
  <c r="H21" i="3"/>
  <c r="H22" i="20" s="1"/>
  <c r="H22" i="3"/>
  <c r="H23" i="20" s="1"/>
  <c r="H23" i="3"/>
  <c r="H24" i="20" s="1"/>
  <c r="H24" i="3"/>
  <c r="H25" i="20" s="1"/>
  <c r="H25" i="3"/>
  <c r="H26" i="20" s="1"/>
  <c r="H26" i="3"/>
  <c r="H27" i="20" s="1"/>
  <c r="H27" i="3"/>
  <c r="H28" i="20" s="1"/>
  <c r="H28" i="3"/>
  <c r="H29" i="20" s="1"/>
  <c r="H29" i="3"/>
  <c r="H30" i="20" s="1"/>
  <c r="H30" i="3"/>
  <c r="H31" i="20" s="1"/>
  <c r="H31" i="3"/>
  <c r="H32" i="20" s="1"/>
  <c r="H5" i="3"/>
  <c r="H6" i="20" s="1"/>
  <c r="K30" i="10"/>
  <c r="L30" i="10" s="1"/>
  <c r="J30" i="10"/>
  <c r="N30" i="10" s="1"/>
  <c r="K29" i="10"/>
  <c r="L29" i="10" s="1"/>
  <c r="J29" i="10"/>
  <c r="N29" i="10" s="1"/>
  <c r="K28" i="10"/>
  <c r="L28" i="10" s="1"/>
  <c r="J28" i="10"/>
  <c r="N28" i="10" s="1"/>
  <c r="K27" i="10"/>
  <c r="J27" i="10"/>
  <c r="N27" i="10" s="1"/>
  <c r="N26" i="10"/>
  <c r="L26" i="10"/>
  <c r="K26" i="10"/>
  <c r="J26" i="10"/>
  <c r="K25" i="10"/>
  <c r="L25" i="10" s="1"/>
  <c r="J25" i="10"/>
  <c r="N25" i="10" s="1"/>
  <c r="K24" i="10"/>
  <c r="L24" i="10" s="1"/>
  <c r="J24" i="10"/>
  <c r="N24" i="10" s="1"/>
  <c r="K23" i="10"/>
  <c r="J23" i="10"/>
  <c r="N23" i="10" s="1"/>
  <c r="K22" i="10"/>
  <c r="J22" i="10"/>
  <c r="N22" i="10" s="1"/>
  <c r="L21" i="10"/>
  <c r="K21" i="10"/>
  <c r="J21" i="10"/>
  <c r="N21" i="10" s="1"/>
  <c r="K20" i="10"/>
  <c r="J20" i="10"/>
  <c r="N20" i="10" s="1"/>
  <c r="K19" i="10"/>
  <c r="J19" i="10"/>
  <c r="N19" i="10" s="1"/>
  <c r="N18" i="10"/>
  <c r="L18" i="10"/>
  <c r="K18" i="10"/>
  <c r="J18" i="10"/>
  <c r="K17" i="10"/>
  <c r="J17" i="10"/>
  <c r="N17" i="10" s="1"/>
  <c r="K16" i="10"/>
  <c r="J16" i="10"/>
  <c r="L16" i="10" s="1"/>
  <c r="N15" i="10"/>
  <c r="K15" i="10"/>
  <c r="L15" i="10" s="1"/>
  <c r="J15" i="10"/>
  <c r="K14" i="10"/>
  <c r="L14" i="10" s="1"/>
  <c r="J14" i="10"/>
  <c r="N14" i="10" s="1"/>
  <c r="N13" i="10"/>
  <c r="K13" i="10"/>
  <c r="L13" i="10" s="1"/>
  <c r="J13" i="10"/>
  <c r="K12" i="10"/>
  <c r="L12" i="10" s="1"/>
  <c r="J12" i="10"/>
  <c r="N12" i="10" s="1"/>
  <c r="K11" i="10"/>
  <c r="J11" i="10"/>
  <c r="N11" i="10" s="1"/>
  <c r="K10" i="10"/>
  <c r="L10" i="10" s="1"/>
  <c r="J10" i="10"/>
  <c r="N10" i="10" s="1"/>
  <c r="K9" i="10"/>
  <c r="J9" i="10"/>
  <c r="N9" i="10" s="1"/>
  <c r="N8" i="10"/>
  <c r="K8" i="10"/>
  <c r="L8" i="10" s="1"/>
  <c r="J8" i="10"/>
  <c r="N7" i="10"/>
  <c r="K7" i="10"/>
  <c r="L7" i="10" s="1"/>
  <c r="J7" i="10"/>
  <c r="K6" i="10"/>
  <c r="J6" i="10"/>
  <c r="N6" i="10" s="1"/>
  <c r="K5" i="10"/>
  <c r="J5" i="10"/>
  <c r="L5" i="10" s="1"/>
  <c r="K4" i="10"/>
  <c r="L4" i="10" s="1"/>
  <c r="J4" i="10"/>
  <c r="N4" i="10" s="1"/>
  <c r="K3" i="10"/>
  <c r="J3" i="10"/>
  <c r="K30" i="9"/>
  <c r="J30" i="9"/>
  <c r="N30" i="9" s="1"/>
  <c r="K29" i="9"/>
  <c r="L29" i="9" s="1"/>
  <c r="J29" i="9"/>
  <c r="N29" i="9" s="1"/>
  <c r="K28" i="9"/>
  <c r="J28" i="9"/>
  <c r="N28" i="9" s="1"/>
  <c r="K27" i="9"/>
  <c r="L27" i="9" s="1"/>
  <c r="J27" i="9"/>
  <c r="N27" i="9" s="1"/>
  <c r="K26" i="9"/>
  <c r="J26" i="9"/>
  <c r="N26" i="9" s="1"/>
  <c r="K25" i="9"/>
  <c r="L25" i="9" s="1"/>
  <c r="J25" i="9"/>
  <c r="N25" i="9" s="1"/>
  <c r="K24" i="9"/>
  <c r="J24" i="9"/>
  <c r="N24" i="9" s="1"/>
  <c r="K23" i="9"/>
  <c r="L23" i="9" s="1"/>
  <c r="J23" i="9"/>
  <c r="N23" i="9" s="1"/>
  <c r="K22" i="9"/>
  <c r="J22" i="9"/>
  <c r="N22" i="9" s="1"/>
  <c r="K21" i="9"/>
  <c r="L21" i="9" s="1"/>
  <c r="J21" i="9"/>
  <c r="N21" i="9" s="1"/>
  <c r="K20" i="9"/>
  <c r="J20" i="9"/>
  <c r="N20" i="9" s="1"/>
  <c r="K19" i="9"/>
  <c r="L19" i="9" s="1"/>
  <c r="J19" i="9"/>
  <c r="N19" i="9" s="1"/>
  <c r="K18" i="9"/>
  <c r="J18" i="9"/>
  <c r="N18" i="9" s="1"/>
  <c r="K17" i="9"/>
  <c r="L17" i="9" s="1"/>
  <c r="J17" i="9"/>
  <c r="N17" i="9" s="1"/>
  <c r="K16" i="9"/>
  <c r="J16" i="9"/>
  <c r="N16" i="9" s="1"/>
  <c r="K15" i="9"/>
  <c r="L15" i="9" s="1"/>
  <c r="J15" i="9"/>
  <c r="N15" i="9" s="1"/>
  <c r="K14" i="9"/>
  <c r="J14" i="9"/>
  <c r="N14" i="9" s="1"/>
  <c r="K13" i="9"/>
  <c r="L13" i="9" s="1"/>
  <c r="J13" i="9"/>
  <c r="N13" i="9" s="1"/>
  <c r="K12" i="9"/>
  <c r="J12" i="9"/>
  <c r="N12" i="9" s="1"/>
  <c r="K11" i="9"/>
  <c r="L11" i="9" s="1"/>
  <c r="J11" i="9"/>
  <c r="N11" i="9" s="1"/>
  <c r="K10" i="9"/>
  <c r="J10" i="9"/>
  <c r="N10" i="9" s="1"/>
  <c r="K9" i="9"/>
  <c r="L9" i="9" s="1"/>
  <c r="J9" i="9"/>
  <c r="N9" i="9" s="1"/>
  <c r="K8" i="9"/>
  <c r="J8" i="9"/>
  <c r="N8" i="9" s="1"/>
  <c r="K7" i="9"/>
  <c r="L7" i="9" s="1"/>
  <c r="J7" i="9"/>
  <c r="N7" i="9" s="1"/>
  <c r="K6" i="9"/>
  <c r="J6" i="9"/>
  <c r="N6" i="9" s="1"/>
  <c r="K5" i="9"/>
  <c r="L5" i="9" s="1"/>
  <c r="J5" i="9"/>
  <c r="N5" i="9" s="1"/>
  <c r="K4" i="9"/>
  <c r="J4" i="9"/>
  <c r="N4" i="9" s="1"/>
  <c r="K3" i="9"/>
  <c r="J3" i="9"/>
  <c r="G6" i="3"/>
  <c r="G7" i="20" s="1"/>
  <c r="G7" i="3"/>
  <c r="G8" i="20" s="1"/>
  <c r="G8" i="3"/>
  <c r="G9" i="20" s="1"/>
  <c r="G9" i="3"/>
  <c r="G10" i="20" s="1"/>
  <c r="G10" i="3"/>
  <c r="G11" i="20" s="1"/>
  <c r="G11" i="3"/>
  <c r="G12" i="20" s="1"/>
  <c r="G12" i="3"/>
  <c r="G13" i="20" s="1"/>
  <c r="G13" i="3"/>
  <c r="G14" i="20" s="1"/>
  <c r="G14" i="3"/>
  <c r="G15" i="20" s="1"/>
  <c r="G15" i="3"/>
  <c r="G16" i="20" s="1"/>
  <c r="G16" i="3"/>
  <c r="G17" i="20" s="1"/>
  <c r="G17" i="3"/>
  <c r="G18" i="20" s="1"/>
  <c r="G18" i="3"/>
  <c r="G19" i="20" s="1"/>
  <c r="G19" i="3"/>
  <c r="G20" i="20" s="1"/>
  <c r="G20" i="3"/>
  <c r="G21" i="20" s="1"/>
  <c r="G88" i="20" s="1"/>
  <c r="G89" i="20" s="1"/>
  <c r="G90" i="20" s="1"/>
  <c r="G21" i="3"/>
  <c r="G22" i="20" s="1"/>
  <c r="G22" i="3"/>
  <c r="G23" i="20" s="1"/>
  <c r="G23" i="3"/>
  <c r="G24" i="20" s="1"/>
  <c r="G24" i="3"/>
  <c r="G25" i="20" s="1"/>
  <c r="G25" i="3"/>
  <c r="G26" i="20" s="1"/>
  <c r="G26" i="3"/>
  <c r="G27" i="20" s="1"/>
  <c r="G27" i="3"/>
  <c r="G28" i="20" s="1"/>
  <c r="G28" i="3"/>
  <c r="G29" i="20" s="1"/>
  <c r="G29" i="3"/>
  <c r="G30" i="20" s="1"/>
  <c r="G30" i="3"/>
  <c r="G31" i="20" s="1"/>
  <c r="G31" i="3"/>
  <c r="G32" i="20" s="1"/>
  <c r="G5" i="3"/>
  <c r="G6" i="20" s="1"/>
  <c r="K30" i="8"/>
  <c r="J30" i="8"/>
  <c r="N30" i="8" s="1"/>
  <c r="K29" i="8"/>
  <c r="J29" i="8"/>
  <c r="N29" i="8" s="1"/>
  <c r="N28" i="8"/>
  <c r="K28" i="8"/>
  <c r="L28" i="8" s="1"/>
  <c r="J28" i="8"/>
  <c r="K27" i="8"/>
  <c r="J27" i="8"/>
  <c r="N27" i="8" s="1"/>
  <c r="K26" i="8"/>
  <c r="J26" i="8"/>
  <c r="N26" i="8" s="1"/>
  <c r="K25" i="8"/>
  <c r="J25" i="8"/>
  <c r="N25" i="8" s="1"/>
  <c r="K24" i="8"/>
  <c r="J24" i="8"/>
  <c r="N24" i="8" s="1"/>
  <c r="K23" i="8"/>
  <c r="J23" i="8"/>
  <c r="N23" i="8" s="1"/>
  <c r="K22" i="8"/>
  <c r="J22" i="8"/>
  <c r="N22" i="8" s="1"/>
  <c r="K21" i="8"/>
  <c r="J21" i="8"/>
  <c r="N21" i="8" s="1"/>
  <c r="K20" i="8"/>
  <c r="J20" i="8"/>
  <c r="N20" i="8" s="1"/>
  <c r="K19" i="8"/>
  <c r="J19" i="8"/>
  <c r="L19" i="8" s="1"/>
  <c r="K18" i="8"/>
  <c r="J18" i="8"/>
  <c r="N18" i="8" s="1"/>
  <c r="K17" i="8"/>
  <c r="J17" i="8"/>
  <c r="N17" i="8" s="1"/>
  <c r="K16" i="8"/>
  <c r="J16" i="8"/>
  <c r="N16" i="8" s="1"/>
  <c r="K15" i="8"/>
  <c r="J15" i="8"/>
  <c r="L15" i="8" s="1"/>
  <c r="K14" i="8"/>
  <c r="J14" i="8"/>
  <c r="N14" i="8" s="1"/>
  <c r="K13" i="8"/>
  <c r="J13" i="8"/>
  <c r="N13" i="8" s="1"/>
  <c r="K12" i="8"/>
  <c r="J12" i="8"/>
  <c r="N12" i="8" s="1"/>
  <c r="K11" i="8"/>
  <c r="J11" i="8"/>
  <c r="K10" i="8"/>
  <c r="J10" i="8"/>
  <c r="N10" i="8" s="1"/>
  <c r="K9" i="8"/>
  <c r="J9" i="8"/>
  <c r="N9" i="8" s="1"/>
  <c r="K8" i="8"/>
  <c r="J8" i="8"/>
  <c r="N8" i="8" s="1"/>
  <c r="K7" i="8"/>
  <c r="J7" i="8"/>
  <c r="N7" i="8" s="1"/>
  <c r="K6" i="8"/>
  <c r="J6" i="8"/>
  <c r="N6" i="8" s="1"/>
  <c r="K5" i="8"/>
  <c r="J5" i="8"/>
  <c r="N5" i="8" s="1"/>
  <c r="K4" i="8"/>
  <c r="J4" i="8"/>
  <c r="N4" i="8" s="1"/>
  <c r="K3" i="8"/>
  <c r="J3" i="8"/>
  <c r="J20" i="7"/>
  <c r="K20" i="7"/>
  <c r="L20" i="7"/>
  <c r="N20" i="7"/>
  <c r="O20" i="7" s="1"/>
  <c r="J21" i="7"/>
  <c r="K21" i="7"/>
  <c r="L21" i="7"/>
  <c r="N21" i="7"/>
  <c r="O21" i="7" s="1"/>
  <c r="J22" i="7"/>
  <c r="N22" i="7" s="1"/>
  <c r="O22" i="7" s="1"/>
  <c r="K22" i="7"/>
  <c r="L22" i="7" s="1"/>
  <c r="J23" i="7"/>
  <c r="N23" i="7" s="1"/>
  <c r="O23" i="7" s="1"/>
  <c r="K23" i="7"/>
  <c r="L23" i="7" s="1"/>
  <c r="J24" i="7"/>
  <c r="K24" i="7"/>
  <c r="L24" i="7"/>
  <c r="N24" i="7"/>
  <c r="O24" i="7" s="1"/>
  <c r="J25" i="7"/>
  <c r="K25" i="7"/>
  <c r="L25" i="7"/>
  <c r="N25" i="7"/>
  <c r="O25" i="7" s="1"/>
  <c r="J26" i="7"/>
  <c r="N26" i="7" s="1"/>
  <c r="O26" i="7" s="1"/>
  <c r="K26" i="7"/>
  <c r="L26" i="7" s="1"/>
  <c r="J27" i="7"/>
  <c r="N27" i="7" s="1"/>
  <c r="O27" i="7" s="1"/>
  <c r="K27" i="7"/>
  <c r="L27" i="7" s="1"/>
  <c r="J28" i="7"/>
  <c r="K28" i="7"/>
  <c r="L28" i="7"/>
  <c r="N28" i="7"/>
  <c r="O28" i="7" s="1"/>
  <c r="J29" i="7"/>
  <c r="K29" i="7"/>
  <c r="L29" i="7"/>
  <c r="N29" i="7"/>
  <c r="O29" i="7" s="1"/>
  <c r="J30" i="7"/>
  <c r="N30" i="7" s="1"/>
  <c r="O30" i="7" s="1"/>
  <c r="K30" i="7"/>
  <c r="L30" i="7" s="1"/>
  <c r="K19" i="7"/>
  <c r="L19" i="7" s="1"/>
  <c r="J19" i="7"/>
  <c r="N19" i="7" s="1"/>
  <c r="K18" i="7"/>
  <c r="L18" i="7" s="1"/>
  <c r="J18" i="7"/>
  <c r="N18" i="7" s="1"/>
  <c r="K17" i="7"/>
  <c r="J17" i="7"/>
  <c r="N17" i="7" s="1"/>
  <c r="K16" i="7"/>
  <c r="L16" i="7" s="1"/>
  <c r="J16" i="7"/>
  <c r="N16" i="7" s="1"/>
  <c r="K15" i="7"/>
  <c r="J15" i="7"/>
  <c r="N15" i="7" s="1"/>
  <c r="K14" i="7"/>
  <c r="L14" i="7" s="1"/>
  <c r="J14" i="7"/>
  <c r="N14" i="7" s="1"/>
  <c r="K13" i="7"/>
  <c r="J13" i="7"/>
  <c r="N13" i="7" s="1"/>
  <c r="K12" i="7"/>
  <c r="L12" i="7" s="1"/>
  <c r="J12" i="7"/>
  <c r="N12" i="7" s="1"/>
  <c r="K11" i="7"/>
  <c r="L11" i="7" s="1"/>
  <c r="J11" i="7"/>
  <c r="N11" i="7" s="1"/>
  <c r="K10" i="7"/>
  <c r="L10" i="7" s="1"/>
  <c r="J10" i="7"/>
  <c r="N10" i="7" s="1"/>
  <c r="K9" i="7"/>
  <c r="J9" i="7"/>
  <c r="N9" i="7" s="1"/>
  <c r="K8" i="7"/>
  <c r="L8" i="7" s="1"/>
  <c r="J8" i="7"/>
  <c r="N8" i="7" s="1"/>
  <c r="K7" i="7"/>
  <c r="J7" i="7"/>
  <c r="N7" i="7" s="1"/>
  <c r="K6" i="7"/>
  <c r="L6" i="7" s="1"/>
  <c r="J6" i="7"/>
  <c r="N6" i="7" s="1"/>
  <c r="K5" i="7"/>
  <c r="J5" i="7"/>
  <c r="N5" i="7" s="1"/>
  <c r="K4" i="7"/>
  <c r="L4" i="7" s="1"/>
  <c r="J4" i="7"/>
  <c r="N4" i="7" s="1"/>
  <c r="K3" i="7"/>
  <c r="J3" i="7"/>
  <c r="B6" i="3"/>
  <c r="B7" i="20" s="1"/>
  <c r="B7" i="3"/>
  <c r="B8" i="20" s="1"/>
  <c r="B8" i="3"/>
  <c r="B9" i="20" s="1"/>
  <c r="B9" i="3"/>
  <c r="B10" i="20" s="1"/>
  <c r="B10" i="3"/>
  <c r="B11" i="20" s="1"/>
  <c r="B11" i="3"/>
  <c r="B12" i="20" s="1"/>
  <c r="B12" i="3"/>
  <c r="B13" i="20" s="1"/>
  <c r="B13" i="3"/>
  <c r="B14" i="20" s="1"/>
  <c r="B14" i="3"/>
  <c r="B15" i="20" s="1"/>
  <c r="B15" i="3"/>
  <c r="B16" i="20" s="1"/>
  <c r="B16" i="3"/>
  <c r="B17" i="20" s="1"/>
  <c r="B17" i="3"/>
  <c r="B18" i="20" s="1"/>
  <c r="B18" i="3"/>
  <c r="B19" i="20" s="1"/>
  <c r="B19" i="3"/>
  <c r="B20" i="20" s="1"/>
  <c r="B20" i="3"/>
  <c r="B21" i="20" s="1"/>
  <c r="B88" i="20" s="1"/>
  <c r="B89" i="20" s="1"/>
  <c r="B90" i="20" s="1"/>
  <c r="B21" i="3"/>
  <c r="B22" i="20" s="1"/>
  <c r="B22" i="3"/>
  <c r="B23" i="20" s="1"/>
  <c r="B23" i="3"/>
  <c r="B24" i="20" s="1"/>
  <c r="B24" i="3"/>
  <c r="B25" i="20" s="1"/>
  <c r="B25" i="3"/>
  <c r="B26" i="20" s="1"/>
  <c r="B26" i="3"/>
  <c r="B27" i="20" s="1"/>
  <c r="B27" i="3"/>
  <c r="B28" i="20" s="1"/>
  <c r="B28" i="3"/>
  <c r="B29" i="20" s="1"/>
  <c r="B29" i="3"/>
  <c r="B30" i="20" s="1"/>
  <c r="B30" i="3"/>
  <c r="B31" i="20" s="1"/>
  <c r="B31" i="3"/>
  <c r="B32" i="20" s="1"/>
  <c r="B5" i="3"/>
  <c r="B6" i="20" s="1"/>
  <c r="C6" i="3"/>
  <c r="C7" i="20" s="1"/>
  <c r="C7" i="3"/>
  <c r="C8" i="20" s="1"/>
  <c r="C8" i="3"/>
  <c r="C9" i="20" s="1"/>
  <c r="C9" i="3"/>
  <c r="C10" i="20" s="1"/>
  <c r="C10" i="3"/>
  <c r="C11" i="20" s="1"/>
  <c r="C11" i="3"/>
  <c r="C12" i="20" s="1"/>
  <c r="C12" i="3"/>
  <c r="C13" i="20" s="1"/>
  <c r="C13" i="3"/>
  <c r="C14" i="20" s="1"/>
  <c r="C14" i="3"/>
  <c r="C15" i="20" s="1"/>
  <c r="C15" i="3"/>
  <c r="C16" i="20" s="1"/>
  <c r="C16" i="3"/>
  <c r="C17" i="20" s="1"/>
  <c r="C17" i="3"/>
  <c r="C18" i="20" s="1"/>
  <c r="C18" i="3"/>
  <c r="C19" i="20" s="1"/>
  <c r="C19" i="3"/>
  <c r="C20" i="20" s="1"/>
  <c r="C20" i="3"/>
  <c r="C21" i="20" s="1"/>
  <c r="C88" i="20" s="1"/>
  <c r="C89" i="20" s="1"/>
  <c r="C90" i="20" s="1"/>
  <c r="C21" i="3"/>
  <c r="C22" i="20" s="1"/>
  <c r="C22" i="3"/>
  <c r="C23" i="20" s="1"/>
  <c r="C23" i="3"/>
  <c r="C24" i="20" s="1"/>
  <c r="C24" i="3"/>
  <c r="C25" i="20" s="1"/>
  <c r="C25" i="3"/>
  <c r="C26" i="20" s="1"/>
  <c r="C26" i="3"/>
  <c r="C27" i="20" s="1"/>
  <c r="C27" i="3"/>
  <c r="C28" i="20" s="1"/>
  <c r="C28" i="3"/>
  <c r="C29" i="20" s="1"/>
  <c r="C29" i="3"/>
  <c r="C30" i="20" s="1"/>
  <c r="C30" i="3"/>
  <c r="C31" i="20" s="1"/>
  <c r="C31" i="3"/>
  <c r="C32" i="20" s="1"/>
  <c r="C5" i="3"/>
  <c r="C6" i="20" s="1"/>
  <c r="F6" i="3"/>
  <c r="F7" i="20" s="1"/>
  <c r="F7" i="3"/>
  <c r="F8" i="20" s="1"/>
  <c r="F8" i="3"/>
  <c r="F9" i="20" s="1"/>
  <c r="F9" i="3"/>
  <c r="F10" i="20" s="1"/>
  <c r="F10" i="3"/>
  <c r="F11" i="20" s="1"/>
  <c r="F11" i="3"/>
  <c r="F12" i="20" s="1"/>
  <c r="F12" i="3"/>
  <c r="F13" i="20" s="1"/>
  <c r="F13" i="3"/>
  <c r="F14" i="20" s="1"/>
  <c r="F14" i="3"/>
  <c r="F15" i="20" s="1"/>
  <c r="F15" i="3"/>
  <c r="F16" i="20" s="1"/>
  <c r="F16" i="3"/>
  <c r="F17" i="20" s="1"/>
  <c r="F17" i="3"/>
  <c r="F18" i="20" s="1"/>
  <c r="F18" i="3"/>
  <c r="F19" i="20" s="1"/>
  <c r="F19" i="3"/>
  <c r="F20" i="20" s="1"/>
  <c r="F20" i="3"/>
  <c r="F21" i="20" s="1"/>
  <c r="F88" i="20" s="1"/>
  <c r="F89" i="20" s="1"/>
  <c r="F90" i="20" s="1"/>
  <c r="F5" i="3"/>
  <c r="F6" i="20" s="1"/>
  <c r="N19" i="6"/>
  <c r="K19" i="6"/>
  <c r="J19" i="6"/>
  <c r="L19" i="6" s="1"/>
  <c r="K18" i="6"/>
  <c r="L18" i="6" s="1"/>
  <c r="J18" i="6"/>
  <c r="N18" i="6" s="1"/>
  <c r="K17" i="6"/>
  <c r="L17" i="6" s="1"/>
  <c r="J17" i="6"/>
  <c r="N17" i="6" s="1"/>
  <c r="N16" i="6"/>
  <c r="L16" i="6"/>
  <c r="K16" i="6"/>
  <c r="J16" i="6"/>
  <c r="N15" i="6"/>
  <c r="K15" i="6"/>
  <c r="J15" i="6"/>
  <c r="L15" i="6" s="1"/>
  <c r="K14" i="6"/>
  <c r="L14" i="6" s="1"/>
  <c r="J14" i="6"/>
  <c r="N14" i="6" s="1"/>
  <c r="K13" i="6"/>
  <c r="L13" i="6" s="1"/>
  <c r="J13" i="6"/>
  <c r="N13" i="6" s="1"/>
  <c r="N12" i="6"/>
  <c r="L12" i="6"/>
  <c r="K12" i="6"/>
  <c r="J12" i="6"/>
  <c r="N11" i="6"/>
  <c r="K11" i="6"/>
  <c r="J11" i="6"/>
  <c r="L11" i="6" s="1"/>
  <c r="K10" i="6"/>
  <c r="L10" i="6" s="1"/>
  <c r="J10" i="6"/>
  <c r="N10" i="6" s="1"/>
  <c r="K9" i="6"/>
  <c r="L9" i="6" s="1"/>
  <c r="J9" i="6"/>
  <c r="N9" i="6" s="1"/>
  <c r="N8" i="6"/>
  <c r="L8" i="6"/>
  <c r="K8" i="6"/>
  <c r="J8" i="6"/>
  <c r="N7" i="6"/>
  <c r="K7" i="6"/>
  <c r="J7" i="6"/>
  <c r="L7" i="6" s="1"/>
  <c r="K6" i="6"/>
  <c r="L6" i="6" s="1"/>
  <c r="J6" i="6"/>
  <c r="N6" i="6" s="1"/>
  <c r="K5" i="6"/>
  <c r="L5" i="6" s="1"/>
  <c r="J5" i="6"/>
  <c r="N5" i="6" s="1"/>
  <c r="N4" i="6"/>
  <c r="L4" i="6"/>
  <c r="K4" i="6"/>
  <c r="J4" i="6"/>
  <c r="K3" i="6"/>
  <c r="J3" i="6"/>
  <c r="AE1" i="3"/>
  <c r="AF1" i="3"/>
  <c r="AF2" i="3"/>
  <c r="E6" i="3"/>
  <c r="E7" i="20" s="1"/>
  <c r="E7" i="3"/>
  <c r="E8" i="20" s="1"/>
  <c r="E8" i="3"/>
  <c r="E9" i="20" s="1"/>
  <c r="E9" i="3"/>
  <c r="E10" i="20" s="1"/>
  <c r="E10" i="3"/>
  <c r="E11" i="20" s="1"/>
  <c r="E11" i="3"/>
  <c r="E12" i="20" s="1"/>
  <c r="E12" i="3"/>
  <c r="E13" i="20" s="1"/>
  <c r="E13" i="3"/>
  <c r="E14" i="20" s="1"/>
  <c r="E14" i="3"/>
  <c r="E15" i="20" s="1"/>
  <c r="E15" i="3"/>
  <c r="E16" i="20" s="1"/>
  <c r="E16" i="3"/>
  <c r="E17" i="20" s="1"/>
  <c r="E17" i="3"/>
  <c r="E18" i="20" s="1"/>
  <c r="E18" i="3"/>
  <c r="E19" i="20" s="1"/>
  <c r="E19" i="3"/>
  <c r="E20" i="20" s="1"/>
  <c r="E20" i="3"/>
  <c r="E21" i="20" s="1"/>
  <c r="E88" i="20" s="1"/>
  <c r="E89" i="20" s="1"/>
  <c r="E90" i="20" s="1"/>
  <c r="E5" i="3"/>
  <c r="E6" i="20" s="1"/>
  <c r="K19" i="5"/>
  <c r="L19" i="5" s="1"/>
  <c r="J19" i="5"/>
  <c r="N19" i="5" s="1"/>
  <c r="O19" i="5" s="1"/>
  <c r="N18" i="5"/>
  <c r="O18" i="5" s="1"/>
  <c r="K18" i="5"/>
  <c r="L18" i="5" s="1"/>
  <c r="J18" i="5"/>
  <c r="N17" i="5"/>
  <c r="O17" i="5" s="1"/>
  <c r="L17" i="5"/>
  <c r="K17" i="5"/>
  <c r="J17" i="5"/>
  <c r="N16" i="5"/>
  <c r="O16" i="5" s="1"/>
  <c r="K16" i="5"/>
  <c r="L16" i="5" s="1"/>
  <c r="J16" i="5"/>
  <c r="K15" i="5"/>
  <c r="L15" i="5" s="1"/>
  <c r="J15" i="5"/>
  <c r="N15" i="5" s="1"/>
  <c r="O15" i="5" s="1"/>
  <c r="N14" i="5"/>
  <c r="O14" i="5" s="1"/>
  <c r="K14" i="5"/>
  <c r="L14" i="5" s="1"/>
  <c r="J14" i="5"/>
  <c r="N13" i="5"/>
  <c r="O13" i="5" s="1"/>
  <c r="L13" i="5"/>
  <c r="K13" i="5"/>
  <c r="J13" i="5"/>
  <c r="N12" i="5"/>
  <c r="O12" i="5" s="1"/>
  <c r="K12" i="5"/>
  <c r="L12" i="5" s="1"/>
  <c r="J12" i="5"/>
  <c r="K11" i="5"/>
  <c r="L11" i="5" s="1"/>
  <c r="J11" i="5"/>
  <c r="N11" i="5" s="1"/>
  <c r="O11" i="5" s="1"/>
  <c r="N10" i="5"/>
  <c r="O10" i="5" s="1"/>
  <c r="K10" i="5"/>
  <c r="L10" i="5" s="1"/>
  <c r="J10" i="5"/>
  <c r="N9" i="5"/>
  <c r="O9" i="5" s="1"/>
  <c r="L9" i="5"/>
  <c r="K9" i="5"/>
  <c r="J9" i="5"/>
  <c r="N8" i="5"/>
  <c r="O8" i="5" s="1"/>
  <c r="K8" i="5"/>
  <c r="L8" i="5" s="1"/>
  <c r="J8" i="5"/>
  <c r="K7" i="5"/>
  <c r="L7" i="5" s="1"/>
  <c r="J7" i="5"/>
  <c r="N7" i="5" s="1"/>
  <c r="O7" i="5" s="1"/>
  <c r="N6" i="5"/>
  <c r="O6" i="5" s="1"/>
  <c r="K6" i="5"/>
  <c r="L6" i="5" s="1"/>
  <c r="J6" i="5"/>
  <c r="N5" i="5"/>
  <c r="O5" i="5" s="1"/>
  <c r="L5" i="5"/>
  <c r="K5" i="5"/>
  <c r="J5" i="5"/>
  <c r="N4" i="5"/>
  <c r="O4" i="5" s="1"/>
  <c r="K4" i="5"/>
  <c r="L4" i="5" s="1"/>
  <c r="J4" i="5"/>
  <c r="K3" i="5"/>
  <c r="J3" i="5"/>
  <c r="P1" i="5"/>
  <c r="AE2" i="3"/>
  <c r="AE3" i="3"/>
  <c r="AD3" i="3"/>
  <c r="D6" i="3"/>
  <c r="D7" i="20" s="1"/>
  <c r="D7" i="3"/>
  <c r="D8" i="20" s="1"/>
  <c r="D8" i="3"/>
  <c r="D9" i="20" s="1"/>
  <c r="D9" i="3"/>
  <c r="D10" i="20" s="1"/>
  <c r="D10" i="3"/>
  <c r="D11" i="20" s="1"/>
  <c r="D11" i="3"/>
  <c r="D12" i="20" s="1"/>
  <c r="D12" i="3"/>
  <c r="D13" i="20" s="1"/>
  <c r="D13" i="3"/>
  <c r="D14" i="20" s="1"/>
  <c r="D14" i="3"/>
  <c r="D15" i="20" s="1"/>
  <c r="D15" i="3"/>
  <c r="D16" i="20" s="1"/>
  <c r="D16" i="3"/>
  <c r="D17" i="20" s="1"/>
  <c r="D17" i="3"/>
  <c r="D18" i="20" s="1"/>
  <c r="D18" i="3"/>
  <c r="D19" i="20" s="1"/>
  <c r="D19" i="3"/>
  <c r="D20" i="20" s="1"/>
  <c r="D20" i="3"/>
  <c r="D21" i="20" s="1"/>
  <c r="D88" i="20" s="1"/>
  <c r="D89" i="20" s="1"/>
  <c r="D90" i="20" s="1"/>
  <c r="D5" i="3"/>
  <c r="D6" i="20" s="1"/>
  <c r="K19" i="4"/>
  <c r="J19" i="4"/>
  <c r="N19" i="4" s="1"/>
  <c r="K18" i="4"/>
  <c r="J18" i="4"/>
  <c r="N18" i="4" s="1"/>
  <c r="N17" i="4"/>
  <c r="K17" i="4"/>
  <c r="L17" i="4" s="1"/>
  <c r="J17" i="4"/>
  <c r="N16" i="4"/>
  <c r="K16" i="4"/>
  <c r="L16" i="4" s="1"/>
  <c r="J16" i="4"/>
  <c r="K15" i="4"/>
  <c r="J15" i="4"/>
  <c r="N15" i="4" s="1"/>
  <c r="K14" i="4"/>
  <c r="J14" i="4"/>
  <c r="N14" i="4" s="1"/>
  <c r="N13" i="4"/>
  <c r="K13" i="4"/>
  <c r="L13" i="4" s="1"/>
  <c r="J13" i="4"/>
  <c r="K12" i="4"/>
  <c r="L12" i="4" s="1"/>
  <c r="J12" i="4"/>
  <c r="N12" i="4" s="1"/>
  <c r="K11" i="4"/>
  <c r="J11" i="4"/>
  <c r="N11" i="4" s="1"/>
  <c r="K10" i="4"/>
  <c r="L10" i="4" s="1"/>
  <c r="J10" i="4"/>
  <c r="N10" i="4" s="1"/>
  <c r="N9" i="4"/>
  <c r="K9" i="4"/>
  <c r="L9" i="4" s="1"/>
  <c r="J9" i="4"/>
  <c r="K8" i="4"/>
  <c r="L8" i="4" s="1"/>
  <c r="J8" i="4"/>
  <c r="N8" i="4" s="1"/>
  <c r="K7" i="4"/>
  <c r="J7" i="4"/>
  <c r="N7" i="4" s="1"/>
  <c r="K6" i="4"/>
  <c r="L6" i="4" s="1"/>
  <c r="J6" i="4"/>
  <c r="N6" i="4" s="1"/>
  <c r="N5" i="4"/>
  <c r="K5" i="4"/>
  <c r="L5" i="4" s="1"/>
  <c r="J5" i="4"/>
  <c r="K4" i="4"/>
  <c r="L4" i="4" s="1"/>
  <c r="J4" i="4"/>
  <c r="N4" i="4" s="1"/>
  <c r="K3" i="4"/>
  <c r="J3" i="4"/>
  <c r="K5" i="2"/>
  <c r="K6" i="2"/>
  <c r="K7" i="2"/>
  <c r="L7" i="2" s="1"/>
  <c r="K8" i="2"/>
  <c r="K9" i="2"/>
  <c r="K10" i="2"/>
  <c r="L10" i="2" s="1"/>
  <c r="K11" i="2"/>
  <c r="K12" i="2"/>
  <c r="L12" i="2" s="1"/>
  <c r="K13" i="2"/>
  <c r="K14" i="2"/>
  <c r="K15" i="2"/>
  <c r="L15" i="2" s="1"/>
  <c r="K16" i="2"/>
  <c r="K17" i="2"/>
  <c r="K18" i="2"/>
  <c r="K19" i="2"/>
  <c r="K20" i="2"/>
  <c r="L20" i="2" s="1"/>
  <c r="K21" i="2"/>
  <c r="K22" i="2"/>
  <c r="K23" i="2"/>
  <c r="K24" i="2"/>
  <c r="K25" i="2"/>
  <c r="K26" i="2"/>
  <c r="K27" i="2"/>
  <c r="K28" i="2"/>
  <c r="L28" i="2" s="1"/>
  <c r="K29" i="2"/>
  <c r="K30" i="2"/>
  <c r="K4" i="2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4" i="1"/>
  <c r="L30" i="2"/>
  <c r="J30" i="2"/>
  <c r="N30" i="2" s="1"/>
  <c r="L29" i="2"/>
  <c r="J29" i="2"/>
  <c r="N29" i="2" s="1"/>
  <c r="N28" i="2"/>
  <c r="J28" i="2"/>
  <c r="N27" i="2"/>
  <c r="J27" i="2"/>
  <c r="L26" i="2"/>
  <c r="J26" i="2"/>
  <c r="N26" i="2" s="1"/>
  <c r="L25" i="2"/>
  <c r="J25" i="2"/>
  <c r="N25" i="2" s="1"/>
  <c r="N24" i="2"/>
  <c r="L24" i="2"/>
  <c r="J24" i="2"/>
  <c r="N23" i="2"/>
  <c r="L23" i="2"/>
  <c r="J23" i="2"/>
  <c r="L22" i="2"/>
  <c r="J22" i="2"/>
  <c r="N22" i="2" s="1"/>
  <c r="L21" i="2"/>
  <c r="J21" i="2"/>
  <c r="N21" i="2" s="1"/>
  <c r="N20" i="2"/>
  <c r="J20" i="2"/>
  <c r="N19" i="2"/>
  <c r="J19" i="2"/>
  <c r="L18" i="2"/>
  <c r="J18" i="2"/>
  <c r="N18" i="2" s="1"/>
  <c r="L17" i="2"/>
  <c r="J17" i="2"/>
  <c r="N17" i="2" s="1"/>
  <c r="N16" i="2"/>
  <c r="L16" i="2"/>
  <c r="J16" i="2"/>
  <c r="N15" i="2"/>
  <c r="J15" i="2"/>
  <c r="L14" i="2"/>
  <c r="J14" i="2"/>
  <c r="N14" i="2" s="1"/>
  <c r="L13" i="2"/>
  <c r="J13" i="2"/>
  <c r="N13" i="2" s="1"/>
  <c r="N12" i="2"/>
  <c r="J12" i="2"/>
  <c r="N11" i="2"/>
  <c r="J11" i="2"/>
  <c r="L11" i="2" s="1"/>
  <c r="J10" i="2"/>
  <c r="N10" i="2" s="1"/>
  <c r="L9" i="2"/>
  <c r="J9" i="2"/>
  <c r="N9" i="2" s="1"/>
  <c r="N8" i="2"/>
  <c r="L8" i="2"/>
  <c r="J8" i="2"/>
  <c r="N7" i="2"/>
  <c r="J7" i="2"/>
  <c r="L6" i="2"/>
  <c r="J6" i="2"/>
  <c r="N6" i="2" s="1"/>
  <c r="L5" i="2"/>
  <c r="J5" i="2"/>
  <c r="N5" i="2" s="1"/>
  <c r="N4" i="2"/>
  <c r="L4" i="2"/>
  <c r="J4" i="2"/>
  <c r="K3" i="2"/>
  <c r="J3" i="2"/>
  <c r="O23" i="29" l="1"/>
  <c r="O11" i="29"/>
  <c r="O22" i="29"/>
  <c r="O7" i="29"/>
  <c r="O10" i="29"/>
  <c r="O6" i="29"/>
  <c r="O20" i="29"/>
  <c r="O16" i="29"/>
  <c r="O5" i="29"/>
  <c r="O13" i="29"/>
  <c r="O18" i="29"/>
  <c r="O24" i="29"/>
  <c r="O27" i="29"/>
  <c r="O21" i="29"/>
  <c r="O25" i="29"/>
  <c r="O27" i="28"/>
  <c r="O22" i="28"/>
  <c r="O7" i="28"/>
  <c r="O24" i="28"/>
  <c r="O9" i="28"/>
  <c r="O15" i="28"/>
  <c r="O12" i="28"/>
  <c r="O6" i="28"/>
  <c r="O8" i="28"/>
  <c r="O13" i="28"/>
  <c r="O21" i="28"/>
  <c r="O16" i="28"/>
  <c r="O25" i="28"/>
  <c r="O5" i="28"/>
  <c r="O18" i="28"/>
  <c r="O4" i="28"/>
  <c r="O26" i="28"/>
  <c r="O19" i="28"/>
  <c r="O17" i="28"/>
  <c r="O10" i="28"/>
  <c r="O14" i="28"/>
  <c r="O23" i="28"/>
  <c r="O20" i="28"/>
  <c r="O30" i="28"/>
  <c r="O11" i="28"/>
  <c r="O28" i="28"/>
  <c r="O11" i="27"/>
  <c r="O19" i="27"/>
  <c r="O17" i="27"/>
  <c r="O13" i="27"/>
  <c r="O15" i="26"/>
  <c r="O24" i="26"/>
  <c r="O16" i="26"/>
  <c r="O6" i="26"/>
  <c r="O12" i="26"/>
  <c r="O29" i="26"/>
  <c r="O25" i="24"/>
  <c r="O15" i="24"/>
  <c r="O7" i="24"/>
  <c r="O28" i="24"/>
  <c r="O6" i="24"/>
  <c r="O12" i="24"/>
  <c r="O21" i="24"/>
  <c r="O12" i="22"/>
  <c r="O27" i="22"/>
  <c r="O19" i="22"/>
  <c r="O11" i="22"/>
  <c r="O16" i="22"/>
  <c r="O8" i="22"/>
  <c r="O6" i="22"/>
  <c r="O4" i="22"/>
  <c r="R5" i="3" s="1"/>
  <c r="O17" i="22"/>
  <c r="O28" i="22"/>
  <c r="O25" i="22"/>
  <c r="O23" i="22"/>
  <c r="O30" i="22"/>
  <c r="O5" i="22"/>
  <c r="O22" i="22"/>
  <c r="S14" i="20"/>
  <c r="T17" i="20"/>
  <c r="P33" i="3"/>
  <c r="P34" i="20" s="1"/>
  <c r="I35" i="20"/>
  <c r="I43" i="20" s="1"/>
  <c r="I84" i="20"/>
  <c r="T15" i="20"/>
  <c r="S17" i="20"/>
  <c r="J35" i="20"/>
  <c r="J43" i="20" s="1"/>
  <c r="J84" i="20"/>
  <c r="K84" i="20"/>
  <c r="K35" i="20"/>
  <c r="K43" i="20" s="1"/>
  <c r="S15" i="20"/>
  <c r="L84" i="20"/>
  <c r="L35" i="20"/>
  <c r="M84" i="20"/>
  <c r="M35" i="20"/>
  <c r="G35" i="20"/>
  <c r="G43" i="20" s="1"/>
  <c r="G84" i="20"/>
  <c r="B84" i="20"/>
  <c r="B35" i="20"/>
  <c r="B43" i="20" s="1"/>
  <c r="N35" i="20"/>
  <c r="N84" i="20"/>
  <c r="T16" i="20"/>
  <c r="C35" i="20"/>
  <c r="C43" i="20" s="1"/>
  <c r="C84" i="20"/>
  <c r="O35" i="20"/>
  <c r="L43" i="20" s="1"/>
  <c r="O84" i="20"/>
  <c r="F35" i="20"/>
  <c r="F43" i="20" s="1"/>
  <c r="F84" i="20"/>
  <c r="D84" i="20"/>
  <c r="D35" i="20"/>
  <c r="D43" i="20" s="1"/>
  <c r="P84" i="20"/>
  <c r="P35" i="20"/>
  <c r="M43" i="20" s="1"/>
  <c r="T14" i="20"/>
  <c r="S16" i="20"/>
  <c r="H35" i="20"/>
  <c r="H43" i="20" s="1"/>
  <c r="H84" i="20"/>
  <c r="E84" i="20"/>
  <c r="E35" i="20"/>
  <c r="E43" i="20" s="1"/>
  <c r="Q84" i="20"/>
  <c r="N43" i="20"/>
  <c r="L8" i="19"/>
  <c r="L11" i="19"/>
  <c r="L17" i="19"/>
  <c r="L20" i="19"/>
  <c r="L18" i="19"/>
  <c r="L15" i="19"/>
  <c r="L27" i="19"/>
  <c r="L7" i="19"/>
  <c r="L16" i="19"/>
  <c r="L19" i="19"/>
  <c r="L25" i="19"/>
  <c r="P1" i="19"/>
  <c r="O14" i="19" s="1"/>
  <c r="N24" i="19"/>
  <c r="L28" i="18"/>
  <c r="L10" i="18"/>
  <c r="L13" i="18"/>
  <c r="N19" i="18"/>
  <c r="L22" i="18"/>
  <c r="L25" i="18"/>
  <c r="L4" i="18"/>
  <c r="L26" i="18"/>
  <c r="N11" i="18"/>
  <c r="P1" i="18"/>
  <c r="O25" i="18" s="1"/>
  <c r="O6" i="18"/>
  <c r="L7" i="18"/>
  <c r="L15" i="18"/>
  <c r="L23" i="18"/>
  <c r="N33" i="3"/>
  <c r="N34" i="20" s="1"/>
  <c r="O18" i="16"/>
  <c r="O12" i="16"/>
  <c r="O20" i="16"/>
  <c r="O5" i="16"/>
  <c r="O8" i="16"/>
  <c r="O11" i="16"/>
  <c r="O17" i="16"/>
  <c r="O22" i="16"/>
  <c r="O28" i="16"/>
  <c r="O26" i="16"/>
  <c r="O9" i="16"/>
  <c r="O14" i="16"/>
  <c r="L20" i="16"/>
  <c r="L26" i="16"/>
  <c r="L29" i="16"/>
  <c r="O29" i="16"/>
  <c r="O15" i="16"/>
  <c r="L23" i="16"/>
  <c r="O27" i="16"/>
  <c r="O30" i="16"/>
  <c r="O6" i="16"/>
  <c r="O21" i="16"/>
  <c r="O24" i="16"/>
  <c r="O23" i="16"/>
  <c r="O7" i="16"/>
  <c r="L21" i="16"/>
  <c r="L24" i="16"/>
  <c r="L4" i="16"/>
  <c r="L10" i="16"/>
  <c r="O13" i="16"/>
  <c r="O16" i="16"/>
  <c r="O19" i="16"/>
  <c r="O25" i="16"/>
  <c r="O4" i="16"/>
  <c r="O10" i="16"/>
  <c r="O33" i="3"/>
  <c r="O34" i="20" s="1"/>
  <c r="O24" i="15"/>
  <c r="O6" i="15"/>
  <c r="O16" i="15"/>
  <c r="O19" i="15"/>
  <c r="L25" i="15"/>
  <c r="O28" i="15"/>
  <c r="L17" i="15"/>
  <c r="O20" i="15"/>
  <c r="N25" i="15"/>
  <c r="O25" i="15" s="1"/>
  <c r="O29" i="15"/>
  <c r="O23" i="15"/>
  <c r="L8" i="15"/>
  <c r="L11" i="15"/>
  <c r="O17" i="15"/>
  <c r="O21" i="15"/>
  <c r="L29" i="15"/>
  <c r="L9" i="15"/>
  <c r="O12" i="15"/>
  <c r="O26" i="15"/>
  <c r="O30" i="15"/>
  <c r="O15" i="15"/>
  <c r="O27" i="15"/>
  <c r="L7" i="15"/>
  <c r="L15" i="15"/>
  <c r="L23" i="15"/>
  <c r="L30" i="15"/>
  <c r="O7" i="14"/>
  <c r="M8" i="3" s="1"/>
  <c r="M9" i="20" s="1"/>
  <c r="O12" i="14"/>
  <c r="M13" i="3" s="1"/>
  <c r="M14" i="20" s="1"/>
  <c r="O19" i="14"/>
  <c r="M20" i="3" s="1"/>
  <c r="M21" i="20" s="1"/>
  <c r="M88" i="20" s="1"/>
  <c r="M89" i="20" s="1"/>
  <c r="M90" i="20" s="1"/>
  <c r="O25" i="14"/>
  <c r="M26" i="3" s="1"/>
  <c r="M27" i="20" s="1"/>
  <c r="O28" i="14"/>
  <c r="M29" i="3" s="1"/>
  <c r="M30" i="20" s="1"/>
  <c r="O30" i="14"/>
  <c r="M31" i="3" s="1"/>
  <c r="M32" i="20" s="1"/>
  <c r="O13" i="14"/>
  <c r="M14" i="3" s="1"/>
  <c r="M15" i="20" s="1"/>
  <c r="O4" i="14"/>
  <c r="M5" i="3" s="1"/>
  <c r="M6" i="20" s="1"/>
  <c r="O10" i="14"/>
  <c r="M11" i="3" s="1"/>
  <c r="M12" i="20" s="1"/>
  <c r="O16" i="14"/>
  <c r="M17" i="3" s="1"/>
  <c r="M18" i="20" s="1"/>
  <c r="O22" i="14"/>
  <c r="M23" i="3" s="1"/>
  <c r="M24" i="20" s="1"/>
  <c r="O29" i="14"/>
  <c r="M30" i="3" s="1"/>
  <c r="M31" i="20" s="1"/>
  <c r="O11" i="14"/>
  <c r="M12" i="3" s="1"/>
  <c r="M13" i="20" s="1"/>
  <c r="O17" i="14"/>
  <c r="M18" i="3" s="1"/>
  <c r="M19" i="20" s="1"/>
  <c r="O23" i="14"/>
  <c r="M24" i="3" s="1"/>
  <c r="M25" i="20" s="1"/>
  <c r="O26" i="14"/>
  <c r="M27" i="3" s="1"/>
  <c r="M28" i="20" s="1"/>
  <c r="L33" i="3"/>
  <c r="L34" i="20" s="1"/>
  <c r="L13" i="14"/>
  <c r="N5" i="14"/>
  <c r="O5" i="14" s="1"/>
  <c r="M6" i="3" s="1"/>
  <c r="M7" i="20" s="1"/>
  <c r="N21" i="14"/>
  <c r="O21" i="14" s="1"/>
  <c r="M22" i="3" s="1"/>
  <c r="M23" i="20" s="1"/>
  <c r="K33" i="3"/>
  <c r="K34" i="20" s="1"/>
  <c r="P1" i="13"/>
  <c r="O4" i="13" s="1"/>
  <c r="O20" i="13"/>
  <c r="L5" i="13"/>
  <c r="L28" i="13"/>
  <c r="O9" i="13"/>
  <c r="L12" i="13"/>
  <c r="L23" i="13"/>
  <c r="O18" i="13"/>
  <c r="O21" i="13"/>
  <c r="L4" i="13"/>
  <c r="L18" i="13"/>
  <c r="L21" i="13"/>
  <c r="O30" i="13"/>
  <c r="L14" i="13"/>
  <c r="L7" i="13"/>
  <c r="L13" i="13"/>
  <c r="L19" i="13"/>
  <c r="L27" i="13"/>
  <c r="N11" i="13"/>
  <c r="O11" i="13" s="1"/>
  <c r="L30" i="13"/>
  <c r="AD18" i="3"/>
  <c r="AD10" i="3"/>
  <c r="J33" i="3"/>
  <c r="J34" i="20" s="1"/>
  <c r="AD8" i="3"/>
  <c r="L6" i="12"/>
  <c r="L28" i="12"/>
  <c r="L4" i="12"/>
  <c r="L9" i="12"/>
  <c r="L7" i="12"/>
  <c r="L26" i="12"/>
  <c r="L5" i="12"/>
  <c r="L27" i="12"/>
  <c r="P1" i="12"/>
  <c r="O6" i="12"/>
  <c r="O11" i="12"/>
  <c r="O16" i="12"/>
  <c r="O19" i="12"/>
  <c r="O24" i="12"/>
  <c r="O27" i="12"/>
  <c r="O8" i="12"/>
  <c r="O17" i="12"/>
  <c r="O25" i="12"/>
  <c r="O9" i="12"/>
  <c r="O7" i="12"/>
  <c r="O18" i="12"/>
  <c r="O26" i="12"/>
  <c r="O20" i="12"/>
  <c r="O10" i="12"/>
  <c r="O15" i="12"/>
  <c r="O23" i="12"/>
  <c r="O30" i="12"/>
  <c r="O12" i="12"/>
  <c r="O28" i="12"/>
  <c r="O4" i="12"/>
  <c r="O29" i="12"/>
  <c r="O14" i="12"/>
  <c r="O22" i="12"/>
  <c r="I33" i="3"/>
  <c r="I34" i="20" s="1"/>
  <c r="H33" i="3"/>
  <c r="H34" i="20" s="1"/>
  <c r="L24" i="11"/>
  <c r="L7" i="11"/>
  <c r="L10" i="11"/>
  <c r="L27" i="11"/>
  <c r="L18" i="11"/>
  <c r="L4" i="11"/>
  <c r="L8" i="11"/>
  <c r="L11" i="11"/>
  <c r="L29" i="11"/>
  <c r="L26" i="11"/>
  <c r="L15" i="11"/>
  <c r="O15" i="11"/>
  <c r="O28" i="11"/>
  <c r="O29" i="11"/>
  <c r="O5" i="11"/>
  <c r="O14" i="11"/>
  <c r="P1" i="11"/>
  <c r="O25" i="11" s="1"/>
  <c r="O23" i="11"/>
  <c r="O13" i="11"/>
  <c r="O17" i="11"/>
  <c r="O4" i="11"/>
  <c r="O24" i="11"/>
  <c r="O22" i="11"/>
  <c r="O30" i="11"/>
  <c r="L23" i="11"/>
  <c r="AD28" i="3"/>
  <c r="AD27" i="3"/>
  <c r="AD19" i="3"/>
  <c r="AD11" i="3"/>
  <c r="AD24" i="3"/>
  <c r="AD16" i="3"/>
  <c r="AF14" i="3"/>
  <c r="AH14" i="3" s="1"/>
  <c r="AF6" i="3"/>
  <c r="AE20" i="3"/>
  <c r="AE12" i="3"/>
  <c r="AF18" i="3"/>
  <c r="AH18" i="3" s="1"/>
  <c r="AF10" i="3"/>
  <c r="AD30" i="3"/>
  <c r="AD14" i="3"/>
  <c r="AD6" i="3"/>
  <c r="C33" i="3"/>
  <c r="C34" i="20" s="1"/>
  <c r="B33" i="3"/>
  <c r="B34" i="20" s="1"/>
  <c r="AE16" i="3"/>
  <c r="AG16" i="3" s="1"/>
  <c r="AD12" i="3"/>
  <c r="G33" i="3"/>
  <c r="G34" i="20" s="1"/>
  <c r="AE8" i="3"/>
  <c r="AD20" i="3"/>
  <c r="AD31" i="3"/>
  <c r="AD23" i="3"/>
  <c r="AD15" i="3"/>
  <c r="AD7" i="3"/>
  <c r="L9" i="10"/>
  <c r="N5" i="10"/>
  <c r="N16" i="10"/>
  <c r="L22" i="10"/>
  <c r="L6" i="10"/>
  <c r="L17" i="10"/>
  <c r="L20" i="10"/>
  <c r="L23" i="10"/>
  <c r="O5" i="10"/>
  <c r="P1" i="10"/>
  <c r="O23" i="10" s="1"/>
  <c r="O20" i="10"/>
  <c r="O10" i="10"/>
  <c r="L11" i="10"/>
  <c r="L19" i="10"/>
  <c r="L27" i="10"/>
  <c r="O4" i="9"/>
  <c r="P1" i="9"/>
  <c r="O27" i="9" s="1"/>
  <c r="O10" i="9"/>
  <c r="O16" i="9"/>
  <c r="O18" i="9"/>
  <c r="O20" i="9"/>
  <c r="O24" i="9"/>
  <c r="O26" i="9"/>
  <c r="O28" i="9"/>
  <c r="O15" i="9"/>
  <c r="O19" i="9"/>
  <c r="O12" i="9"/>
  <c r="O9" i="9"/>
  <c r="O13" i="9"/>
  <c r="O17" i="9"/>
  <c r="O25" i="9"/>
  <c r="O29" i="9"/>
  <c r="L4" i="9"/>
  <c r="L8" i="9"/>
  <c r="L12" i="9"/>
  <c r="L16" i="9"/>
  <c r="L20" i="9"/>
  <c r="L24" i="9"/>
  <c r="L28" i="9"/>
  <c r="O30" i="9"/>
  <c r="L6" i="9"/>
  <c r="L10" i="9"/>
  <c r="L14" i="9"/>
  <c r="L18" i="9"/>
  <c r="L22" i="9"/>
  <c r="L26" i="9"/>
  <c r="L30" i="9"/>
  <c r="AD26" i="3"/>
  <c r="AD22" i="3"/>
  <c r="AF19" i="3"/>
  <c r="AH19" i="3" s="1"/>
  <c r="AF15" i="3"/>
  <c r="AH15" i="3" s="1"/>
  <c r="AF11" i="3"/>
  <c r="AF7" i="3"/>
  <c r="L4" i="8"/>
  <c r="L12" i="8"/>
  <c r="L30" i="8"/>
  <c r="L11" i="8"/>
  <c r="L24" i="8"/>
  <c r="L5" i="8"/>
  <c r="L21" i="8"/>
  <c r="L14" i="8"/>
  <c r="L16" i="8"/>
  <c r="L20" i="8"/>
  <c r="L8" i="8"/>
  <c r="N11" i="8"/>
  <c r="L27" i="8"/>
  <c r="L17" i="8"/>
  <c r="L6" i="8"/>
  <c r="L13" i="8"/>
  <c r="N19" i="8"/>
  <c r="L22" i="8"/>
  <c r="L29" i="8"/>
  <c r="L10" i="8"/>
  <c r="L26" i="8"/>
  <c r="L7" i="8"/>
  <c r="L9" i="8"/>
  <c r="N15" i="8"/>
  <c r="L18" i="8"/>
  <c r="L23" i="8"/>
  <c r="L25" i="8"/>
  <c r="P1" i="8"/>
  <c r="O7" i="8" s="1"/>
  <c r="AE19" i="3"/>
  <c r="AG19" i="3" s="1"/>
  <c r="AE15" i="3"/>
  <c r="AG15" i="3" s="1"/>
  <c r="AE11" i="3"/>
  <c r="AE7" i="3"/>
  <c r="AF5" i="3"/>
  <c r="AF17" i="3"/>
  <c r="AH17" i="3" s="1"/>
  <c r="AF13" i="3"/>
  <c r="AH13" i="3" s="1"/>
  <c r="AF9" i="3"/>
  <c r="AF20" i="3"/>
  <c r="AF16" i="3"/>
  <c r="AH16" i="3" s="1"/>
  <c r="AF12" i="3"/>
  <c r="AF8" i="3"/>
  <c r="AD5" i="3"/>
  <c r="L15" i="7"/>
  <c r="L5" i="7"/>
  <c r="L9" i="7"/>
  <c r="L13" i="7"/>
  <c r="L17" i="7"/>
  <c r="L7" i="7"/>
  <c r="P1" i="7"/>
  <c r="O6" i="7" s="1"/>
  <c r="O7" i="7"/>
  <c r="O16" i="7"/>
  <c r="O19" i="7"/>
  <c r="O12" i="7"/>
  <c r="O5" i="7"/>
  <c r="AD29" i="3"/>
  <c r="AD25" i="3"/>
  <c r="AD21" i="3"/>
  <c r="AD17" i="3"/>
  <c r="AD13" i="3"/>
  <c r="AD9" i="3"/>
  <c r="AE18" i="3"/>
  <c r="AG18" i="3" s="1"/>
  <c r="AE14" i="3"/>
  <c r="AG14" i="3" s="1"/>
  <c r="AE10" i="3"/>
  <c r="AE6" i="3"/>
  <c r="AE17" i="3"/>
  <c r="AG17" i="3" s="1"/>
  <c r="AE13" i="3"/>
  <c r="AG13" i="3" s="1"/>
  <c r="AE9" i="3"/>
  <c r="AE5" i="3"/>
  <c r="O10" i="6"/>
  <c r="P1" i="6"/>
  <c r="O14" i="6" s="1"/>
  <c r="O6" i="6"/>
  <c r="O5" i="6"/>
  <c r="O18" i="6"/>
  <c r="L14" i="4"/>
  <c r="L18" i="4"/>
  <c r="L7" i="4"/>
  <c r="L11" i="4"/>
  <c r="L15" i="4"/>
  <c r="L19" i="4"/>
  <c r="O17" i="4"/>
  <c r="P1" i="4"/>
  <c r="O5" i="4" s="1"/>
  <c r="O6" i="4"/>
  <c r="O7" i="4"/>
  <c r="O11" i="4"/>
  <c r="O12" i="4"/>
  <c r="O16" i="4"/>
  <c r="O18" i="4"/>
  <c r="L19" i="2"/>
  <c r="L27" i="2"/>
  <c r="O24" i="2"/>
  <c r="O19" i="2"/>
  <c r="O29" i="2"/>
  <c r="O11" i="2"/>
  <c r="O16" i="2"/>
  <c r="P1" i="2"/>
  <c r="O12" i="2" s="1"/>
  <c r="O6" i="2"/>
  <c r="N9" i="1"/>
  <c r="N10" i="1"/>
  <c r="N17" i="1"/>
  <c r="N18" i="1"/>
  <c r="N25" i="1"/>
  <c r="N26" i="1"/>
  <c r="L6" i="1"/>
  <c r="L9" i="1"/>
  <c r="L14" i="1"/>
  <c r="L17" i="1"/>
  <c r="L22" i="1"/>
  <c r="L25" i="1"/>
  <c r="L30" i="1"/>
  <c r="J4" i="1"/>
  <c r="N4" i="1" s="1"/>
  <c r="L4" i="1"/>
  <c r="J5" i="1"/>
  <c r="N5" i="1" s="1"/>
  <c r="L5" i="1"/>
  <c r="J6" i="1"/>
  <c r="N6" i="1" s="1"/>
  <c r="J7" i="1"/>
  <c r="N7" i="1" s="1"/>
  <c r="L7" i="1"/>
  <c r="J8" i="1"/>
  <c r="N8" i="1" s="1"/>
  <c r="L8" i="1"/>
  <c r="J9" i="1"/>
  <c r="J10" i="1"/>
  <c r="L10" i="1"/>
  <c r="J11" i="1"/>
  <c r="N11" i="1" s="1"/>
  <c r="L11" i="1"/>
  <c r="J12" i="1"/>
  <c r="N12" i="1" s="1"/>
  <c r="L12" i="1"/>
  <c r="J13" i="1"/>
  <c r="N13" i="1" s="1"/>
  <c r="L13" i="1"/>
  <c r="J14" i="1"/>
  <c r="N14" i="1" s="1"/>
  <c r="J15" i="1"/>
  <c r="N15" i="1" s="1"/>
  <c r="L15" i="1"/>
  <c r="J16" i="1"/>
  <c r="N16" i="1" s="1"/>
  <c r="L16" i="1"/>
  <c r="J17" i="1"/>
  <c r="J18" i="1"/>
  <c r="L18" i="1"/>
  <c r="J19" i="1"/>
  <c r="N19" i="1" s="1"/>
  <c r="L19" i="1"/>
  <c r="J20" i="1"/>
  <c r="N20" i="1" s="1"/>
  <c r="L20" i="1"/>
  <c r="J21" i="1"/>
  <c r="N21" i="1" s="1"/>
  <c r="L21" i="1"/>
  <c r="J22" i="1"/>
  <c r="N22" i="1" s="1"/>
  <c r="J23" i="1"/>
  <c r="N23" i="1" s="1"/>
  <c r="L23" i="1"/>
  <c r="J24" i="1"/>
  <c r="N24" i="1" s="1"/>
  <c r="L24" i="1"/>
  <c r="J25" i="1"/>
  <c r="J26" i="1"/>
  <c r="L26" i="1"/>
  <c r="J27" i="1"/>
  <c r="N27" i="1" s="1"/>
  <c r="L27" i="1"/>
  <c r="J28" i="1"/>
  <c r="N28" i="1" s="1"/>
  <c r="L28" i="1"/>
  <c r="J29" i="1"/>
  <c r="N29" i="1" s="1"/>
  <c r="L29" i="1"/>
  <c r="J30" i="1"/>
  <c r="N30" i="1" s="1"/>
  <c r="K3" i="1"/>
  <c r="J3" i="1"/>
  <c r="U17" i="20" l="1"/>
  <c r="B41" i="20" s="1"/>
  <c r="B45" i="20" s="1"/>
  <c r="U14" i="20"/>
  <c r="K38" i="20" s="1"/>
  <c r="O41" i="20"/>
  <c r="L41" i="20"/>
  <c r="L45" i="20" s="1"/>
  <c r="U16" i="20"/>
  <c r="G40" i="20" s="1"/>
  <c r="C41" i="20"/>
  <c r="C45" i="20" s="1"/>
  <c r="H40" i="20"/>
  <c r="M40" i="20"/>
  <c r="H41" i="20"/>
  <c r="H45" i="20" s="1"/>
  <c r="Q41" i="20"/>
  <c r="N45" i="20" s="1"/>
  <c r="N41" i="20"/>
  <c r="G41" i="20"/>
  <c r="G45" i="20" s="1"/>
  <c r="F41" i="20"/>
  <c r="F45" i="20" s="1"/>
  <c r="E41" i="20"/>
  <c r="E45" i="20" s="1"/>
  <c r="D40" i="20"/>
  <c r="J40" i="20"/>
  <c r="K41" i="20"/>
  <c r="K45" i="20" s="1"/>
  <c r="D41" i="20"/>
  <c r="D45" i="20" s="1"/>
  <c r="M41" i="20"/>
  <c r="P41" i="20"/>
  <c r="M45" i="20" s="1"/>
  <c r="U15" i="20"/>
  <c r="J41" i="20"/>
  <c r="J45" i="20" s="1"/>
  <c r="N40" i="20"/>
  <c r="P40" i="20"/>
  <c r="I41" i="20"/>
  <c r="I45" i="20" s="1"/>
  <c r="O22" i="19"/>
  <c r="O27" i="19"/>
  <c r="O12" i="19"/>
  <c r="O8" i="19"/>
  <c r="O28" i="19"/>
  <c r="O15" i="19"/>
  <c r="O5" i="19"/>
  <c r="O24" i="19"/>
  <c r="O29" i="19"/>
  <c r="O17" i="19"/>
  <c r="O21" i="19"/>
  <c r="O9" i="19"/>
  <c r="O26" i="19"/>
  <c r="O18" i="19"/>
  <c r="O10" i="19"/>
  <c r="O20" i="19"/>
  <c r="O19" i="19"/>
  <c r="O4" i="19"/>
  <c r="O25" i="19"/>
  <c r="O16" i="19"/>
  <c r="O7" i="19"/>
  <c r="O6" i="19"/>
  <c r="O13" i="19"/>
  <c r="O30" i="19"/>
  <c r="O23" i="19"/>
  <c r="O11" i="19"/>
  <c r="O8" i="18"/>
  <c r="O17" i="18"/>
  <c r="O4" i="18"/>
  <c r="O27" i="18"/>
  <c r="O28" i="18"/>
  <c r="O14" i="18"/>
  <c r="O9" i="18"/>
  <c r="O29" i="18"/>
  <c r="O26" i="18"/>
  <c r="O11" i="18"/>
  <c r="O23" i="18"/>
  <c r="O30" i="18"/>
  <c r="O21" i="18"/>
  <c r="O13" i="18"/>
  <c r="O5" i="18"/>
  <c r="O19" i="18"/>
  <c r="O18" i="18"/>
  <c r="O20" i="18"/>
  <c r="O22" i="18"/>
  <c r="O15" i="18"/>
  <c r="O16" i="18"/>
  <c r="O7" i="18"/>
  <c r="O12" i="18"/>
  <c r="O10" i="18"/>
  <c r="O24" i="18"/>
  <c r="M33" i="3"/>
  <c r="M34" i="20" s="1"/>
  <c r="O12" i="13"/>
  <c r="O27" i="13"/>
  <c r="O6" i="13"/>
  <c r="O13" i="13"/>
  <c r="O19" i="13"/>
  <c r="O23" i="13"/>
  <c r="O14" i="13"/>
  <c r="O7" i="13"/>
  <c r="O29" i="13"/>
  <c r="O25" i="13"/>
  <c r="O22" i="13"/>
  <c r="O26" i="13"/>
  <c r="O28" i="13"/>
  <c r="O16" i="13"/>
  <c r="O17" i="13"/>
  <c r="O8" i="13"/>
  <c r="O10" i="13"/>
  <c r="O24" i="13"/>
  <c r="O5" i="13"/>
  <c r="O15" i="13"/>
  <c r="O13" i="12"/>
  <c r="O21" i="12"/>
  <c r="O5" i="12"/>
  <c r="O11" i="11"/>
  <c r="O20" i="11"/>
  <c r="O27" i="11"/>
  <c r="O12" i="11"/>
  <c r="O18" i="11"/>
  <c r="O26" i="11"/>
  <c r="O10" i="11"/>
  <c r="O8" i="11"/>
  <c r="O21" i="11"/>
  <c r="O6" i="11"/>
  <c r="O19" i="11"/>
  <c r="O9" i="11"/>
  <c r="O16" i="11"/>
  <c r="O7" i="11"/>
  <c r="O27" i="10"/>
  <c r="O21" i="10"/>
  <c r="O19" i="10"/>
  <c r="O12" i="10"/>
  <c r="O18" i="10"/>
  <c r="O13" i="10"/>
  <c r="O25" i="10"/>
  <c r="O29" i="10"/>
  <c r="O24" i="10"/>
  <c r="O16" i="10"/>
  <c r="O8" i="10"/>
  <c r="O26" i="10"/>
  <c r="O4" i="10"/>
  <c r="O14" i="10"/>
  <c r="O28" i="10"/>
  <c r="O17" i="10"/>
  <c r="O6" i="10"/>
  <c r="O7" i="10"/>
  <c r="O9" i="10"/>
  <c r="O22" i="10"/>
  <c r="O30" i="10"/>
  <c r="O15" i="10"/>
  <c r="O11" i="10"/>
  <c r="O8" i="9"/>
  <c r="O23" i="9"/>
  <c r="O11" i="9"/>
  <c r="O21" i="9"/>
  <c r="O5" i="9"/>
  <c r="O7" i="9"/>
  <c r="O22" i="9"/>
  <c r="O14" i="9"/>
  <c r="O6" i="9"/>
  <c r="O29" i="8"/>
  <c r="O19" i="8"/>
  <c r="O12" i="8"/>
  <c r="O28" i="8"/>
  <c r="O16" i="8"/>
  <c r="O20" i="8"/>
  <c r="O27" i="8"/>
  <c r="O11" i="8"/>
  <c r="O18" i="8"/>
  <c r="O23" i="8"/>
  <c r="O6" i="8"/>
  <c r="O15" i="8"/>
  <c r="O24" i="8"/>
  <c r="O26" i="8"/>
  <c r="O10" i="8"/>
  <c r="O9" i="8"/>
  <c r="O22" i="8"/>
  <c r="O30" i="8"/>
  <c r="O14" i="8"/>
  <c r="O13" i="8"/>
  <c r="O17" i="8"/>
  <c r="O25" i="8"/>
  <c r="O4" i="8"/>
  <c r="O8" i="8"/>
  <c r="O21" i="8"/>
  <c r="O5" i="8"/>
  <c r="O13" i="7"/>
  <c r="O11" i="7"/>
  <c r="O15" i="7"/>
  <c r="O9" i="7"/>
  <c r="O10" i="7"/>
  <c r="O8" i="7"/>
  <c r="O17" i="7"/>
  <c r="O18" i="7"/>
  <c r="O4" i="7"/>
  <c r="O14" i="7"/>
  <c r="O9" i="6"/>
  <c r="O13" i="6"/>
  <c r="O16" i="6"/>
  <c r="O4" i="6"/>
  <c r="O8" i="6"/>
  <c r="O12" i="6"/>
  <c r="O15" i="6"/>
  <c r="O19" i="6"/>
  <c r="O17" i="6"/>
  <c r="O7" i="6"/>
  <c r="O11" i="6"/>
  <c r="O13" i="4"/>
  <c r="O9" i="4"/>
  <c r="O15" i="4"/>
  <c r="O10" i="4"/>
  <c r="O19" i="4"/>
  <c r="O14" i="4"/>
  <c r="O8" i="4"/>
  <c r="O4" i="4"/>
  <c r="O5" i="2"/>
  <c r="O4" i="2"/>
  <c r="O22" i="2"/>
  <c r="O7" i="2"/>
  <c r="O23" i="2"/>
  <c r="O30" i="2"/>
  <c r="O8" i="2"/>
  <c r="O26" i="2"/>
  <c r="O15" i="2"/>
  <c r="O28" i="2"/>
  <c r="O10" i="2"/>
  <c r="O27" i="2"/>
  <c r="O14" i="2"/>
  <c r="O20" i="2"/>
  <c r="O13" i="2"/>
  <c r="O21" i="2"/>
  <c r="O9" i="2"/>
  <c r="O18" i="2"/>
  <c r="O17" i="2"/>
  <c r="O25" i="2"/>
  <c r="P1" i="1"/>
  <c r="O8" i="1" s="1"/>
  <c r="E40" i="20" l="1"/>
  <c r="O40" i="20"/>
  <c r="L40" i="20"/>
  <c r="H38" i="20"/>
  <c r="P38" i="20"/>
  <c r="J38" i="20"/>
  <c r="Q38" i="20"/>
  <c r="G38" i="20"/>
  <c r="I38" i="20"/>
  <c r="D38" i="20"/>
  <c r="E38" i="20"/>
  <c r="L38" i="20"/>
  <c r="F38" i="20"/>
  <c r="N38" i="20"/>
  <c r="M38" i="20"/>
  <c r="C38" i="20"/>
  <c r="B38" i="20"/>
  <c r="O38" i="20"/>
  <c r="K40" i="20"/>
  <c r="C40" i="20"/>
  <c r="I40" i="20"/>
  <c r="B40" i="20"/>
  <c r="Q40" i="20"/>
  <c r="F40" i="20"/>
  <c r="K39" i="20"/>
  <c r="L39" i="20"/>
  <c r="G39" i="20"/>
  <c r="F39" i="20"/>
  <c r="D39" i="20"/>
  <c r="H39" i="20"/>
  <c r="J39" i="20"/>
  <c r="B39" i="20"/>
  <c r="P39" i="20"/>
  <c r="M39" i="20"/>
  <c r="N39" i="20"/>
  <c r="Q39" i="20"/>
  <c r="E39" i="20"/>
  <c r="I39" i="20"/>
  <c r="C39" i="20"/>
  <c r="O39" i="20"/>
  <c r="O20" i="1"/>
  <c r="O26" i="1"/>
  <c r="O10" i="1"/>
  <c r="O5" i="1"/>
  <c r="O30" i="1"/>
  <c r="O16" i="1"/>
  <c r="O12" i="1"/>
  <c r="O18" i="1"/>
  <c r="O27" i="1"/>
  <c r="O14" i="1"/>
  <c r="O22" i="1"/>
  <c r="O15" i="1"/>
  <c r="O7" i="1"/>
  <c r="O19" i="1"/>
  <c r="O23" i="1"/>
  <c r="O25" i="1"/>
  <c r="O28" i="1"/>
  <c r="O4" i="1"/>
  <c r="O17" i="1"/>
  <c r="O21" i="1"/>
  <c r="O13" i="1"/>
  <c r="O24" i="1"/>
  <c r="O9" i="1"/>
  <c r="O6" i="1"/>
  <c r="O11" i="1"/>
  <c r="O29" i="1"/>
</calcChain>
</file>

<file path=xl/sharedStrings.xml><?xml version="1.0" encoding="utf-8"?>
<sst xmlns="http://schemas.openxmlformats.org/spreadsheetml/2006/main" count="1484" uniqueCount="240">
  <si>
    <t>av_exp = 10,   frequency = 1591.5,   no. of samples = 10,   settling samples = 2</t>
  </si>
  <si>
    <t>zero_corrected</t>
  </si>
  <si>
    <t>from G:\Shared drives\MSL - Electricity - Ongoing\Farad\Cap_Scale_Sept_2021\compare 2019 2020.xlsx cell AA30</t>
  </si>
  <si>
    <t>AH11C1</t>
  </si>
  <si>
    <t>correction</t>
  </si>
  <si>
    <t>DateTime</t>
  </si>
  <si>
    <t>Capacitor</t>
  </si>
  <si>
    <t>Capacitance (pF)</t>
  </si>
  <si>
    <t>uCap (pF)</t>
  </si>
  <si>
    <t>Conductance (nS)</t>
  </si>
  <si>
    <t>uCond (nS)</t>
  </si>
  <si>
    <t>Frequency (Hz)</t>
  </si>
  <si>
    <t>Voltage (V)</t>
  </si>
  <si>
    <t>tand</t>
  </si>
  <si>
    <t>nominal C</t>
  </si>
  <si>
    <t>error</t>
  </si>
  <si>
    <t>corrected ppm</t>
  </si>
  <si>
    <t>zero</t>
  </si>
  <si>
    <t>AH2 leads (long BNC), 1019.35 mb, 20.9 deg, 54.9 % RH</t>
  </si>
  <si>
    <t>-</t>
  </si>
  <si>
    <t>ppm</t>
  </si>
  <si>
    <t>ah11a1</t>
  </si>
  <si>
    <t>11.9, -11.7, .034, -.017, -.012, .020  … forgot chassis temperature!</t>
  </si>
  <si>
    <t>ah11b1</t>
  </si>
  <si>
    <t>ah11c1</t>
  </si>
  <si>
    <t>ah11d1</t>
  </si>
  <si>
    <t>ah11a2</t>
  </si>
  <si>
    <t>11.8, -11.8, 28.7, -.040, -.056, -.010, .025</t>
  </si>
  <si>
    <t>ah11b2</t>
  </si>
  <si>
    <t>ah11c2</t>
  </si>
  <si>
    <t>ah11d2</t>
  </si>
  <si>
    <t>gr10</t>
  </si>
  <si>
    <t>GR inner displays as 25.46</t>
  </si>
  <si>
    <t>gr100</t>
  </si>
  <si>
    <t>gr1000a</t>
  </si>
  <si>
    <t>gr1000b</t>
  </si>
  <si>
    <t>es13</t>
  </si>
  <si>
    <t>GMH 526 reads 22.89, (logging shows 24.00??_not likely)</t>
  </si>
  <si>
    <t>es16</t>
  </si>
  <si>
    <t>GMH reads 22.89</t>
  </si>
  <si>
    <t>es14</t>
  </si>
  <si>
    <t>GMh526 reads 22.89</t>
  </si>
  <si>
    <t>ub1000</t>
  </si>
  <si>
    <t>Black labelled leads for GR connectors, GMH reads 21.29 and falling, 1019.94 mb, RH 55.2, GMH now 21.09</t>
  </si>
  <si>
    <t>PC1</t>
  </si>
  <si>
    <t>Lead B to HV, Lead A to detector, A side shorted, GHM reads 23.33, logging reads 24, note the Sball is 23.0 on logging!</t>
  </si>
  <si>
    <t>PC2</t>
  </si>
  <si>
    <t>PC3</t>
  </si>
  <si>
    <t>PC4</t>
  </si>
  <si>
    <t>PC5</t>
  </si>
  <si>
    <t>PC6</t>
  </si>
  <si>
    <t>PC7</t>
  </si>
  <si>
    <t>GMH526 reads 23.33</t>
  </si>
  <si>
    <t>PC8</t>
  </si>
  <si>
    <t>PC9</t>
  </si>
  <si>
    <t>PC10</t>
  </si>
  <si>
    <t>PC11</t>
  </si>
  <si>
    <t>GMH 23.33, 1020.73 mb, 55.0% RH</t>
  </si>
  <si>
    <t>AH2 long leads, 1021.35 mb, 20.6 deg, 56.2 % RH</t>
  </si>
  <si>
    <t>11.9, -11.7, 29.0, .034, -.017, -.012</t>
  </si>
  <si>
    <t>and the last one is 0.021</t>
  </si>
  <si>
    <t>11.8, -11.9, -.040, -.056, -.011, .024</t>
  </si>
  <si>
    <t>GR inner 25.458, 1021.16 mb</t>
  </si>
  <si>
    <t>GMH526 22.88, logging 23.295</t>
  </si>
  <si>
    <t>GMH 22.88</t>
  </si>
  <si>
    <t xml:space="preserve"> GMH 22.87</t>
  </si>
  <si>
    <t>GMH526 20.72, 1021.26 mb, 56.9%</t>
  </si>
  <si>
    <t>GMH 23.34, logging 23.995</t>
  </si>
  <si>
    <t>GMH 23.34</t>
  </si>
  <si>
    <t>FCU08 20.66, 49.62 %. AH11_1:  11.9, -11.7, 31.2, .033, -.016, -.010, .016</t>
  </si>
  <si>
    <t xml:space="preserve"> pressure 1006.48 mb</t>
  </si>
  <si>
    <t>AH112:  11.8, -11.9, 30.2, -.033, -.046, -.003, .022</t>
  </si>
  <si>
    <t xml:space="preserve"> GR inner 21.122, pressure 1005.93 mb</t>
  </si>
  <si>
    <t>GR inner 21.123, pressure 1005.44 mb</t>
  </si>
  <si>
    <t>Sapphire ball 21.655</t>
  </si>
  <si>
    <t>GMH 526 under UB1000 reads 20.68, pressure 1005.75 mb</t>
  </si>
  <si>
    <t>Fcu08 20.6, 52.99%, AH11_1:  11.9, -11.7, 31.0, .033, -.016, -.010, .017</t>
  </si>
  <si>
    <t>pressure 1003.76 mb</t>
  </si>
  <si>
    <t>AH11_2:  11.8, -11.9, 30.1, -.033, -.047, -.004, .022</t>
  </si>
  <si>
    <t>pressure 1003.64 mb, GR outer 23.98</t>
  </si>
  <si>
    <t>GR inner 23.98</t>
  </si>
  <si>
    <t>Logger 23.659, GMH 526 23.34</t>
  </si>
  <si>
    <t>pressure 1003.59 mb, GMH 526 under UB1000 20.79</t>
  </si>
  <si>
    <t>AH11_1:  11.9, -11.7, 31.1, .033, -.016, -.010, .017</t>
  </si>
  <si>
    <t>AH11_2:  11.8, -11.9, 30.1, -.034, -.048, -.004, .022</t>
  </si>
  <si>
    <t>GR inner 2.006, 993.03 mb, inner is 24.0060</t>
  </si>
  <si>
    <t>Sapphire ball logging 23.660</t>
  </si>
  <si>
    <t>GMH 526 reads 20.76 under UB 1000, reads 23.35 in sapphire ball</t>
  </si>
  <si>
    <t>AH11_1:11.9, -11.7, 31.1, .033, -.016, -.010, .016</t>
  </si>
  <si>
    <t>11.8, -11.9, 30.2, -.033, -.043, -.004, .022</t>
  </si>
  <si>
    <t>GR inner 24.0102, 1022.34mbar</t>
  </si>
  <si>
    <t>gr1nA read before settle down</t>
  </si>
  <si>
    <t>S_ball 23.678 GMH*526 20.88 underUB, in oil 23.67</t>
  </si>
  <si>
    <t>Permuteable Temp 21.0 FCU11 20.9 44.23%RH</t>
  </si>
  <si>
    <t>AH11_2:11.8, -11.9, 30.3, -.033, -.042, -.003, .022</t>
  </si>
  <si>
    <t>GR inner 23.9840, 1025.59mbar</t>
  </si>
  <si>
    <t>S-ball 23.6794 GMH*526 20.81 under UB cap, in oil 23.37</t>
  </si>
  <si>
    <t>Permuteable Temp 21.54 in oil bath no oil, FCU11 Valsala offline</t>
  </si>
  <si>
    <t>AH11_1:11.9, -11.7, 31.2, .033, -.016, -.010, .016</t>
  </si>
  <si>
    <t>AH11_2:11.8, -11.9, 30.3, -.032, -.042, -.003, 022</t>
  </si>
  <si>
    <t>GR inner 23.9838, 1024.70mbar</t>
  </si>
  <si>
    <t>S-ball 23.6796 GMH*526 20.84 under UB cap, in oil 23.36</t>
  </si>
  <si>
    <t>AH11_1: 11.9, -11.7, 30.8, .033, -.016, -.012, .017</t>
  </si>
  <si>
    <t>AH11_2</t>
  </si>
  <si>
    <t xml:space="preserve"> Results of ah11c2</t>
  </si>
  <si>
    <t>results of ah11b2</t>
  </si>
  <si>
    <t>S-ball 23.6843 GMH*526 20.74 under UB cap, in oil 23.37</t>
  </si>
  <si>
    <t>Permuteable Temp 21.5 in oil bath no oil, FCU11 20.87 44.99%RH</t>
  </si>
  <si>
    <t>finishedn, switch back to PC1</t>
  </si>
  <si>
    <t>AH11_1: 11.9, -11.7, 31.9, .032, -.016, -.010, .015</t>
  </si>
  <si>
    <t>AH11_2: 11.8, -11.89, 30.7, .030, -.035, -.001, .018</t>
  </si>
  <si>
    <t>Gr inner 23.9990 1028.29mbar</t>
  </si>
  <si>
    <t>S-ball 23.6860; GMH*526 21.03 under UB cap, in oil 23.37</t>
  </si>
  <si>
    <t>Permuteable Temp 21.80 in oil bath no oil, FCU11  21.60c 42.26%RH</t>
  </si>
  <si>
    <t>finished switch back to PC1</t>
  </si>
  <si>
    <t>AH11_1: 11.9, -11.7, 31.1, .033, -.016, -.011, .016</t>
  </si>
  <si>
    <t>AH11_2:11.8, -11.8, -.031, -.039, -.003, .018</t>
  </si>
  <si>
    <t>GR inner 24.0128 1022.30mbar</t>
  </si>
  <si>
    <t>S-ball 23.6865; GMH*526(New Bettery) 20.89 under UB Cap, in oil 23.38</t>
  </si>
  <si>
    <t>Permuteable Temp 21.50 in oil bath no oil. FCU11 20.80 44.55%RH</t>
  </si>
  <si>
    <t>Finished @ 11:22. Switched back to PC1 Clear the AH2700 Reading...</t>
  </si>
  <si>
    <t>AH11_1: 11.9, -11.7, 31.0, .033, -.016, -.012, .016</t>
  </si>
  <si>
    <t>AH11_2:11.8, -11.8, 30.3, -.032, -.040, -.004, .018</t>
  </si>
  <si>
    <t>GR inner 24.1065, 1022.16mbar</t>
  </si>
  <si>
    <t>S_ball 23.7800, GMH*526 20.86 under UB, 23.37 in Oil</t>
  </si>
  <si>
    <t>Permuteable Temp 21.62 in oil bath no oil. FCU11 20.91 43.24%RH at 11:55am</t>
  </si>
  <si>
    <t>Finished @ 12:14pm. Switched back to PC1 Clear the AH2700 Reading...</t>
  </si>
  <si>
    <t>AH11_1: 11.9, -11.7, 30.9, .033, -.016, -.011, .016</t>
  </si>
  <si>
    <t>AH11_2: 11.8, -11.9, 30.1, -.033, -.043, -.005, .018</t>
  </si>
  <si>
    <t>GR inner 23.9108 1020.69mbar</t>
  </si>
  <si>
    <t xml:space="preserve"> incorrect reading and notes above, Real one is S-ball 23.6865; GMH*526(New Bettery) 20.89 under UB Cap, in oil 23.38</t>
  </si>
  <si>
    <t>All two above notes were NOT right, shall be S-ball 23.7825; GMH*526 20.90 under UB Cap, in oil 23.33</t>
  </si>
  <si>
    <t>Permuteable Temp 21.69 in oil bath no oil. FCU11 20.82 48.12%RH</t>
  </si>
  <si>
    <t>Finished @ 11:16. Switched back to PC1 Clear the AH2700 Reading...</t>
  </si>
  <si>
    <t>AH11_1: 11.9, -11.7, 30.9, .034, -.016, -.011, .016</t>
  </si>
  <si>
    <t>AH11_2: 11.8, -11.9, 30.1, -.033, -.034, -.006, .019</t>
  </si>
  <si>
    <t>GR inner 23.9103 1030.39mbar</t>
  </si>
  <si>
    <t>S-ball 23.7860; GMH*526(New Bettery) 20.71 under UB Cap, in oil 23.36</t>
  </si>
  <si>
    <t>Permuteable Temp 21.60 in oil bath no oil. FCU11 20.82 48.12%RH</t>
  </si>
  <si>
    <t>,</t>
  </si>
  <si>
    <t>Finished @ 11:07. Switched back to PC1 Clear the AH2700 Reading...</t>
  </si>
  <si>
    <t>Zero WITH BNC/BPO connectors</t>
  </si>
  <si>
    <t>AH11_2: 11.8, -11.9, 30.0, -.033, -.046, -.007, .019</t>
  </si>
  <si>
    <t>GR inner 25.1546 1021.37mbar</t>
  </si>
  <si>
    <t>touched while reading</t>
  </si>
  <si>
    <t>S-ball 24.757; GMH*526 20.77 under UB Cap, in oil 24.33</t>
  </si>
  <si>
    <t>Permuteable Temp 21.500 in oil bath no oil. FCU11 20.90 45.12%RH</t>
  </si>
  <si>
    <t xml:space="preserve">Repeat memo: AH2700A probe H/L cables touched while reading "ah11d2" lots noise could be generated this time </t>
  </si>
  <si>
    <t>Zero WITH BNC/BPO connectors 09:50am 1024.35mbar, 51.73%RH 21.87C FCU011</t>
  </si>
  <si>
    <t>AH11_1: 11.9, -11.7, 31.0, .035, -.016, -.011, .016</t>
  </si>
  <si>
    <t>AH11_2: 11.8, -11.8, 30.1, -.036, -.048, -.008, .021</t>
  </si>
  <si>
    <t>GR inner 23.9065 1024.17mbar</t>
  </si>
  <si>
    <t>S-ball 23.705; GMH*526 20.74 under UB Cap, in oil 23.31</t>
  </si>
  <si>
    <t>Permuteable Temp 21.560 in oil bath no oil. FCU11 20.92 52.27%RH</t>
  </si>
  <si>
    <t>Switched back to PC1 Clear the AH2700</t>
  </si>
  <si>
    <t>Zero WITH BNC/BPO connectors 13:33am 1007.12mbar, 49.53%RH 21.58C FCU011</t>
  </si>
  <si>
    <t>AH11_1: 11.9, -11.7, 30.7, .036, -.016, -.013, .017</t>
  </si>
  <si>
    <t>GR inner 23.9110 1007.51mbar</t>
  </si>
  <si>
    <t>S Ball oil 23.733, no GMH in service this day</t>
  </si>
  <si>
    <t>No GMH</t>
  </si>
  <si>
    <t>Permuteable Temp 21.53 in oil bath no oil. FCU11 21.80 50.58%RH</t>
  </si>
  <si>
    <t>Zero WITH BNC/BPO connectors 13:03am 1020.17mbar, 56.83%RH 20.63C FCU011</t>
  </si>
  <si>
    <t>AH11_1: 11.9, -11.6, 31.2, .035, -.016, -.011, .016</t>
  </si>
  <si>
    <t>AH11_2: 11.8, -11.8, 30.1, -.042, -.053, -.012, .021</t>
  </si>
  <si>
    <t>S_Ball 23.730 GMH5I 20.72 under UB Cap and 23.31 in Oil</t>
  </si>
  <si>
    <t>Permuteable Temp 21.560 in oil bath no oil. FCU11 20.64 56.86%RH</t>
  </si>
  <si>
    <t>Zero WITH BNC/BPO connectors 13:52am 1018.01mbar, 48.32%RH 20.61C FCU011</t>
  </si>
  <si>
    <t>AH11_1: 11.9, -11.7, 30.3, .035, -.017, -.012, .018</t>
  </si>
  <si>
    <t>AH11_2: 11.8, -11.9, 29.8, -.046, -.057, -.014, .020</t>
  </si>
  <si>
    <t>GR inner 23.9060, 1017.88mbar</t>
  </si>
  <si>
    <t>S-ball 23.730 GMH*526 21.67 under UB cap, in oil 23.31</t>
  </si>
  <si>
    <t>Permuteable Temp 20.76(by GMH5I), setting of oil bath 21.000, 21.416C, FCU11 20.66 48.34%RH</t>
  </si>
  <si>
    <t>AH11_1: 11.9, -11.7, 30.2, .035, -.017, -.012, .018</t>
  </si>
  <si>
    <t>AH11_2: 11.8, -11.8, 29.8, -.046, -.058, -.014, .022</t>
  </si>
  <si>
    <t>GR inner 23.9060, 1014.28mbar</t>
  </si>
  <si>
    <t>S-ball 23.734 GMH5I 21.65 under UB cap, in oil 23.31</t>
  </si>
  <si>
    <t>Permuteable Temp 22.75(by GMH5I), setting of oil bath 23.000, 23.5xxxC, FCU11 20.59 47.50%RH</t>
  </si>
  <si>
    <t>shorter delay before the reading of PC6---</t>
  </si>
  <si>
    <t>Zero WITH BNC/BPO connectors 14:05am 1003.2mbar, 50.07%RH 20.74C FCU011</t>
  </si>
  <si>
    <t>AH11_1: 11.9, -11.7, 30.4, .036, -.017, -.012, .018</t>
  </si>
  <si>
    <t>AH11_2: 11.8, -11.9, 29.9, -.046, -.058, -.014, .022</t>
  </si>
  <si>
    <t>GR inner 23.9075, 1003.05mbar</t>
  </si>
  <si>
    <t>S-ball 23.730 GMH5I 21.50 under UB cap, in oil 23.30</t>
  </si>
  <si>
    <t>shorter delay before the reading of PC10---</t>
  </si>
  <si>
    <t>switch AH2700A back to standby, PC back to "1"</t>
  </si>
  <si>
    <t>Zero WITH BNC/BPO connectors 09:15am 1000.94mbar, 44.80%RH 20.33C FCU011</t>
  </si>
  <si>
    <t>AH11_1: 11.9, -11.7, 29.9, .036, -.018, -.013, .019</t>
  </si>
  <si>
    <t>AH11_2: 11.8, -11.9, 29.3, -.056, -.063, -.021, .019</t>
  </si>
  <si>
    <t>GR inner 24.1000, 1000.83mbar</t>
  </si>
  <si>
    <t>S-ball 23.730 GMH5I 21`.36 under UB cap, in oil 23.31</t>
  </si>
  <si>
    <t>Zero WITH BNC/BPO connectors 13:56am 1005.36mbar, 50.69%RH 20.39C FCU011</t>
  </si>
  <si>
    <t>AH11_1: 11.9, -11.7, 29.9, .037, -.018, -.013, .020</t>
  </si>
  <si>
    <t>Pause for meetings</t>
  </si>
  <si>
    <t>GR inner 24.097 1003.03</t>
  </si>
  <si>
    <t>Zero WITH BNC/BPO connectors 11:00am 1018.99mbar, 55.99%RH 20.48C FCU011</t>
  </si>
  <si>
    <t>AH11_1: 11.9, -11.7, 29.8, .037, -.018, -.013, .020</t>
  </si>
  <si>
    <t>S-ball:23.720;By GMH5I, S-ball 23.32, Kambic 22.76 and 20.94 under UB cap</t>
  </si>
  <si>
    <t>Zero WITH BNC/BPO connectors 13:01 1019.62mbar, 42.14%RH 20.43C FCU011</t>
  </si>
  <si>
    <t>AH11_1: 11.9, -11.7, 29.8, .036, -.019, -.014, .019</t>
  </si>
  <si>
    <t>AH11_2: 11.8, -11.9, 29.5, -.057, -.071, -.034, .018</t>
  </si>
  <si>
    <t>GR inner 23.9086, 1019.50mbar</t>
  </si>
  <si>
    <t>Permuteable Temp 22.76(by GMH5I), setting of oil bath 23.000,</t>
  </si>
  <si>
    <t>S-ball 23.739 GRinner 23.9086, GRouter 23.883;GMH5I 20.88 under UB cap, in oil 23.31</t>
  </si>
  <si>
    <t>PC back to "1". switch AH2700A back to standby.</t>
  </si>
  <si>
    <t>Sapphire ball (log)</t>
  </si>
  <si>
    <t>GR inner (log)</t>
  </si>
  <si>
    <t>Difference</t>
  </si>
  <si>
    <t>Date</t>
  </si>
  <si>
    <t>tc shift</t>
  </si>
  <si>
    <t>TC new lab</t>
  </si>
  <si>
    <t>GR Temp coeff?</t>
  </si>
  <si>
    <t>Pressure</t>
  </si>
  <si>
    <t>tcoeff</t>
  </si>
  <si>
    <t>ppm/deg</t>
  </si>
  <si>
    <t>factor</t>
  </si>
  <si>
    <t>pressure</t>
  </si>
  <si>
    <t>At 24 deg</t>
  </si>
  <si>
    <t>gr100b, del points</t>
  </si>
  <si>
    <t>pcoeff</t>
  </si>
  <si>
    <t>RH</t>
  </si>
  <si>
    <t>RH coeff</t>
  </si>
  <si>
    <t>UB1000 temperature</t>
  </si>
  <si>
    <t>UB1000</t>
  </si>
  <si>
    <t>pcor UB1000</t>
  </si>
  <si>
    <t>rhcor UB1000</t>
  </si>
  <si>
    <t>Pressure data in new lab from about 23 April 2022</t>
  </si>
  <si>
    <t>Data in old lab  in the old database, but not downloaded as a csv</t>
  </si>
  <si>
    <t>Pressure coefficient for UB100 from</t>
  </si>
  <si>
    <t>G:\Shared drives\MSL - Electricity - Ongoing\Farad\NMIA2019\Cap2019_corrected.xlsx</t>
  </si>
  <si>
    <t>pF/mb</t>
  </si>
  <si>
    <t>Earlier work related to importing the BIPM value is in</t>
  </si>
  <si>
    <t>G:\Shared drives\MSL - Electricity - Ongoing\Farad\CalcCap\Cap2008\Post_BIPM_ES.xls</t>
  </si>
  <si>
    <t>Note there are 3 bad measurements of 1000 pFB on 23/9, 25/10 and 11/11!</t>
  </si>
  <si>
    <t>Conlcude that 1000 pF b has likely shifted 2 ppm</t>
  </si>
  <si>
    <t>Zero WITH BNC/BPO connectors 14:31 1010.10mbar, 52.24%RH 20.56C FCU011</t>
  </si>
  <si>
    <t>AH11_1: 11.9, -11.6, 30.1, .036, -.019, -.014, .019</t>
  </si>
  <si>
    <t>AH11_2: 11.8, -11.8, 29.6, -.055, -.071, -.032, .017</t>
  </si>
  <si>
    <t>GR inner 23.9060, 1009.97mbar</t>
  </si>
  <si>
    <t>Permuteable Temp 22.75(by GMH5I), setting of oil bath 23.000,</t>
  </si>
  <si>
    <t>s-ball 23.735 GRinner 23.9055, GRouter 23.883;GMH5I 20.80 under UB cap, in S ball oil 23.32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</si>
</sst>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E+00"/>
    <numFmt numFmtId="165" formatCode="0.0"/>
    <numFmt numFmtId="166" formatCode="[$-F400]h:mm:ss\ AM/PM"/>
    <numFmt numFmtId="167" formatCode="0.000E+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1" fontId="0" fillId="0" borderId="0" xfId="0" applyNumberFormat="1"/>
    <xf numFmtId="22" fontId="0" fillId="0" borderId="0" xfId="0" applyNumberFormat="1"/>
    <xf numFmtId="164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165" fontId="0" fillId="0" borderId="0" xfId="0" applyNumberFormat="1"/>
    <xf numFmtId="165" fontId="18" fillId="0" borderId="0" xfId="0" applyNumberFormat="1" applyFont="1"/>
    <xf numFmtId="47" fontId="0" fillId="0" borderId="0" xfId="0" applyNumberFormat="1"/>
    <xf numFmtId="165" fontId="18" fillId="33" borderId="0" xfId="0" applyNumberFormat="1" applyFont="1" applyFill="1"/>
    <xf numFmtId="0" fontId="0" fillId="33" borderId="0" xfId="0" applyFill="1"/>
    <xf numFmtId="14" fontId="0" fillId="33" borderId="0" xfId="0" applyNumberFormat="1" applyFill="1"/>
    <xf numFmtId="2" fontId="0" fillId="33" borderId="0" xfId="0" applyNumberFormat="1" applyFill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165" fontId="18" fillId="0" borderId="0" xfId="0" applyNumberFormat="1" applyFont="1" applyProtection="1">
      <protection locked="0"/>
    </xf>
    <xf numFmtId="0" fontId="0" fillId="34" borderId="0" xfId="0" applyFill="1" applyProtection="1">
      <protection locked="0"/>
    </xf>
    <xf numFmtId="166" fontId="0" fillId="0" borderId="0" xfId="0" applyNumberFormat="1"/>
    <xf numFmtId="167" fontId="0" fillId="0" borderId="0" xfId="0" applyNumberFormat="1"/>
    <xf numFmtId="2" fontId="0" fillId="35" borderId="0" xfId="0" applyNumberFormat="1" applyFill="1"/>
    <xf numFmtId="2" fontId="14" fillId="0" borderId="0" xfId="0" applyNumberFormat="1" applyFont="1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AH1100</a:t>
            </a:r>
            <a:r>
              <a:rPr lang="en-NZ" baseline="0"/>
              <a:t> Sets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335216936012527E-2"/>
          <c:y val="6.8773856322183954E-2"/>
          <c:w val="0.89852347927828091"/>
          <c:h val="0.87189036548585463"/>
        </c:manualLayout>
      </c:layout>
      <c:scatterChart>
        <c:scatterStyle val="lineMarker"/>
        <c:varyColors val="0"/>
        <c:ser>
          <c:idx val="1"/>
          <c:order val="0"/>
          <c:tx>
            <c:strRef>
              <c:f>Checks!$A$5</c:f>
              <c:strCache>
                <c:ptCount val="1"/>
                <c:pt idx="0">
                  <c:v>ah11a1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Checks!$B$5:$AB$5</c:f>
              <c:numCache>
                <c:formatCode>0.00</c:formatCode>
                <c:ptCount val="27"/>
                <c:pt idx="0">
                  <c:v>-4.883399999035217</c:v>
                </c:pt>
                <c:pt idx="1">
                  <c:v>-4.8560700001045918</c:v>
                </c:pt>
                <c:pt idx="2">
                  <c:v>-4.7940799999715198</c:v>
                </c:pt>
                <c:pt idx="3">
                  <c:v>-4.8738399999095536</c:v>
                </c:pt>
                <c:pt idx="4">
                  <c:v>-4.8285900000513324</c:v>
                </c:pt>
                <c:pt idx="5">
                  <c:v>-4.9874400010932094</c:v>
                </c:pt>
                <c:pt idx="6">
                  <c:v>-4.8415200010101431</c:v>
                </c:pt>
                <c:pt idx="7">
                  <c:v>-4.8350599990323504</c:v>
                </c:pt>
                <c:pt idx="8">
                  <c:v>-4.8678399999682229</c:v>
                </c:pt>
                <c:pt idx="9">
                  <c:v>-4.8638099990796677</c:v>
                </c:pt>
                <c:pt idx="10">
                  <c:v>-4.8235500000784102</c:v>
                </c:pt>
                <c:pt idx="11">
                  <c:v>-4.8479900002132057</c:v>
                </c:pt>
                <c:pt idx="12">
                  <c:v>-4.8353900000588554</c:v>
                </c:pt>
                <c:pt idx="13">
                  <c:v>-4.8281400000140993</c:v>
                </c:pt>
                <c:pt idx="14">
                  <c:v>-4.8097700001594932</c:v>
                </c:pt>
                <c:pt idx="15">
                  <c:v>-4.7963199999348136</c:v>
                </c:pt>
                <c:pt idx="16">
                  <c:v>-4.7731300000144659</c:v>
                </c:pt>
                <c:pt idx="17">
                  <c:v>-4.7916300001018728</c:v>
                </c:pt>
                <c:pt idx="18">
                  <c:v>-4.7861199998680179</c:v>
                </c:pt>
                <c:pt idx="19">
                  <c:v>-4.7954999999779888</c:v>
                </c:pt>
                <c:pt idx="20">
                  <c:v>-4.729769999979557</c:v>
                </c:pt>
                <c:pt idx="21">
                  <c:v>-4.7632999999782841</c:v>
                </c:pt>
                <c:pt idx="22">
                  <c:v>-4.6964600001100552</c:v>
                </c:pt>
                <c:pt idx="23">
                  <c:v>-4.6536799999010912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BE-4E61-951D-567AEC4EA268}"/>
            </c:ext>
          </c:extLst>
        </c:ser>
        <c:ser>
          <c:idx val="2"/>
          <c:order val="1"/>
          <c:tx>
            <c:strRef>
              <c:f>Checks!$A$6</c:f>
              <c:strCache>
                <c:ptCount val="1"/>
                <c:pt idx="0">
                  <c:v>ah11b1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Checks!$B$6:$AB$6</c:f>
              <c:numCache>
                <c:formatCode>0.00</c:formatCode>
                <c:ptCount val="27"/>
                <c:pt idx="0">
                  <c:v>-4.6426999989926019</c:v>
                </c:pt>
                <c:pt idx="1">
                  <c:v>-4.6096699999234234</c:v>
                </c:pt>
                <c:pt idx="2">
                  <c:v>-4.6063800009834752</c:v>
                </c:pt>
                <c:pt idx="3">
                  <c:v>-4.6588399998839423</c:v>
                </c:pt>
                <c:pt idx="4">
                  <c:v>-4.6278900000986853</c:v>
                </c:pt>
                <c:pt idx="5">
                  <c:v>-4.736240000070798</c:v>
                </c:pt>
                <c:pt idx="6">
                  <c:v>-4.6023199999814155</c:v>
                </c:pt>
                <c:pt idx="7">
                  <c:v>-4.5855599989277538</c:v>
                </c:pt>
                <c:pt idx="8">
                  <c:v>-4.6021400000775445</c:v>
                </c:pt>
                <c:pt idx="9">
                  <c:v>-4.6020099990675876</c:v>
                </c:pt>
                <c:pt idx="10">
                  <c:v>-4.5626500001407964</c:v>
                </c:pt>
                <c:pt idx="11">
                  <c:v>-4.5960900001320768</c:v>
                </c:pt>
                <c:pt idx="12">
                  <c:v>-4.5714900000950651</c:v>
                </c:pt>
                <c:pt idx="13">
                  <c:v>-4.5807399999722351</c:v>
                </c:pt>
                <c:pt idx="14">
                  <c:v>-4.5592699999721562</c:v>
                </c:pt>
                <c:pt idx="15">
                  <c:v>-4.5534199999322142</c:v>
                </c:pt>
                <c:pt idx="16">
                  <c:v>-4.5296300000732446</c:v>
                </c:pt>
                <c:pt idx="17">
                  <c:v>-4.5448300001096529</c:v>
                </c:pt>
                <c:pt idx="18">
                  <c:v>-4.5337199999675635</c:v>
                </c:pt>
                <c:pt idx="19">
                  <c:v>-4.539700000129284</c:v>
                </c:pt>
                <c:pt idx="20">
                  <c:v>-4.489369999961764</c:v>
                </c:pt>
                <c:pt idx="21">
                  <c:v>-4.5045999998896322</c:v>
                </c:pt>
                <c:pt idx="22">
                  <c:v>-4.4838600001719984</c:v>
                </c:pt>
                <c:pt idx="23">
                  <c:v>-4.4141799999577644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BE-4E61-951D-567AEC4EA268}"/>
            </c:ext>
          </c:extLst>
        </c:ser>
        <c:ser>
          <c:idx val="3"/>
          <c:order val="2"/>
          <c:tx>
            <c:strRef>
              <c:f>Checks!$A$7</c:f>
              <c:strCache>
                <c:ptCount val="1"/>
                <c:pt idx="0">
                  <c:v>ah11c1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Checks!$B$7:$AB$7</c:f>
              <c:numCache>
                <c:formatCode>0.00</c:formatCode>
                <c:ptCount val="27"/>
                <c:pt idx="0">
                  <c:v>-4.2</c:v>
                </c:pt>
                <c:pt idx="1">
                  <c:v>-4.2</c:v>
                </c:pt>
                <c:pt idx="2">
                  <c:v>-4.2</c:v>
                </c:pt>
                <c:pt idx="3">
                  <c:v>-4.2</c:v>
                </c:pt>
                <c:pt idx="4">
                  <c:v>-4.2</c:v>
                </c:pt>
                <c:pt idx="5">
                  <c:v>-4.2</c:v>
                </c:pt>
                <c:pt idx="6">
                  <c:v>-4.2</c:v>
                </c:pt>
                <c:pt idx="7">
                  <c:v>-4.2</c:v>
                </c:pt>
                <c:pt idx="8">
                  <c:v>-4.2</c:v>
                </c:pt>
                <c:pt idx="9">
                  <c:v>-4.2</c:v>
                </c:pt>
                <c:pt idx="10">
                  <c:v>-4.2</c:v>
                </c:pt>
                <c:pt idx="11">
                  <c:v>-4.2</c:v>
                </c:pt>
                <c:pt idx="12">
                  <c:v>-4.2</c:v>
                </c:pt>
                <c:pt idx="13">
                  <c:v>-4.2</c:v>
                </c:pt>
                <c:pt idx="14">
                  <c:v>-4.2</c:v>
                </c:pt>
                <c:pt idx="15">
                  <c:v>-4.2</c:v>
                </c:pt>
                <c:pt idx="16">
                  <c:v>-4.2</c:v>
                </c:pt>
                <c:pt idx="17">
                  <c:v>-4.2</c:v>
                </c:pt>
                <c:pt idx="18">
                  <c:v>-4.2</c:v>
                </c:pt>
                <c:pt idx="19">
                  <c:v>-4.2</c:v>
                </c:pt>
                <c:pt idx="20">
                  <c:v>-4.2</c:v>
                </c:pt>
                <c:pt idx="21">
                  <c:v>-4.2</c:v>
                </c:pt>
                <c:pt idx="22">
                  <c:v>-4.2</c:v>
                </c:pt>
                <c:pt idx="23">
                  <c:v>-4.2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BE-4E61-951D-567AEC4EA268}"/>
            </c:ext>
          </c:extLst>
        </c:ser>
        <c:ser>
          <c:idx val="4"/>
          <c:order val="3"/>
          <c:tx>
            <c:strRef>
              <c:f>Checks!$A$8</c:f>
              <c:strCache>
                <c:ptCount val="1"/>
                <c:pt idx="0">
                  <c:v>ah11d1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Checks!$B$8:$AB$8</c:f>
              <c:numCache>
                <c:formatCode>0.00</c:formatCode>
                <c:ptCount val="27"/>
                <c:pt idx="0">
                  <c:v>-4.2615999989905804</c:v>
                </c:pt>
                <c:pt idx="1">
                  <c:v>-4.2601999999849669</c:v>
                </c:pt>
                <c:pt idx="2">
                  <c:v>-4.253599999993992</c:v>
                </c:pt>
                <c:pt idx="3">
                  <c:v>-4.2538000001215623</c:v>
                </c:pt>
                <c:pt idx="4">
                  <c:v>-4.2527000000305479</c:v>
                </c:pt>
                <c:pt idx="5">
                  <c:v>-4.2498000000126455</c:v>
                </c:pt>
                <c:pt idx="6">
                  <c:v>-4.2498000010118462</c:v>
                </c:pt>
                <c:pt idx="7">
                  <c:v>-4.2505999998567932</c:v>
                </c:pt>
                <c:pt idx="8">
                  <c:v>-4.2500000000291935</c:v>
                </c:pt>
                <c:pt idx="9">
                  <c:v>-4.2560999999787983</c:v>
                </c:pt>
                <c:pt idx="10">
                  <c:v>-4.2429000001078707</c:v>
                </c:pt>
                <c:pt idx="11">
                  <c:v>-4.2383000000603319</c:v>
                </c:pt>
                <c:pt idx="12">
                  <c:v>-4.2285000000266324</c:v>
                </c:pt>
                <c:pt idx="13">
                  <c:v>-4.2252000000866561</c:v>
                </c:pt>
                <c:pt idx="14">
                  <c:v>-4.2074000000571674</c:v>
                </c:pt>
                <c:pt idx="15">
                  <c:v>-4.1871999999401242</c:v>
                </c:pt>
                <c:pt idx="16">
                  <c:v>-4.1781999998615946</c:v>
                </c:pt>
                <c:pt idx="17">
                  <c:v>-4.1740000000691966</c:v>
                </c:pt>
                <c:pt idx="18">
                  <c:v>-4.1735999999250781</c:v>
                </c:pt>
                <c:pt idx="19">
                  <c:v>-4.1700999999685537</c:v>
                </c:pt>
                <c:pt idx="20">
                  <c:v>-4.138499999907471</c:v>
                </c:pt>
                <c:pt idx="21">
                  <c:v>-4.1322999999495922</c:v>
                </c:pt>
                <c:pt idx="22">
                  <c:v>-4.1202999999559085</c:v>
                </c:pt>
                <c:pt idx="23">
                  <c:v>-4.0463000000503699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BE-4E61-951D-567AEC4EA268}"/>
            </c:ext>
          </c:extLst>
        </c:ser>
        <c:ser>
          <c:idx val="5"/>
          <c:order val="4"/>
          <c:tx>
            <c:strRef>
              <c:f>Checks!$A$9</c:f>
              <c:strCache>
                <c:ptCount val="1"/>
                <c:pt idx="0">
                  <c:v>ah11a2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Checks!$B$9:$AB$9</c:f>
              <c:numCache>
                <c:formatCode>0.00</c:formatCode>
                <c:ptCount val="27"/>
                <c:pt idx="0">
                  <c:v>-4.8507999990024162</c:v>
                </c:pt>
                <c:pt idx="1">
                  <c:v>-4.8720699999851478</c:v>
                </c:pt>
                <c:pt idx="2">
                  <c:v>-4.8333800000035696</c:v>
                </c:pt>
                <c:pt idx="3">
                  <c:v>-4.896839999925203</c:v>
                </c:pt>
                <c:pt idx="4">
                  <c:v>-4.8510900001366339</c:v>
                </c:pt>
                <c:pt idx="5">
                  <c:v>-4.9717400000162302</c:v>
                </c:pt>
                <c:pt idx="6">
                  <c:v>-4.8469200000136512</c:v>
                </c:pt>
                <c:pt idx="7">
                  <c:v>-4.8615599988935019</c:v>
                </c:pt>
                <c:pt idx="8">
                  <c:v>-4.895140000006589</c:v>
                </c:pt>
                <c:pt idx="9">
                  <c:v>-4.901709998995881</c:v>
                </c:pt>
                <c:pt idx="10">
                  <c:v>-4.8534500001098566</c:v>
                </c:pt>
                <c:pt idx="11">
                  <c:v>-4.8669900001199382</c:v>
                </c:pt>
                <c:pt idx="12">
                  <c:v>-4.8254900001279042</c:v>
                </c:pt>
                <c:pt idx="13">
                  <c:v>-4.8184399999886738</c:v>
                </c:pt>
                <c:pt idx="14">
                  <c:v>-4.7981700000878833</c:v>
                </c:pt>
                <c:pt idx="15">
                  <c:v>-4.7966199997375911</c:v>
                </c:pt>
                <c:pt idx="16">
                  <c:v>-4.7580299999863316</c:v>
                </c:pt>
                <c:pt idx="17">
                  <c:v>-4.7670300001758834</c:v>
                </c:pt>
                <c:pt idx="18">
                  <c:v>-4.744819999892532</c:v>
                </c:pt>
                <c:pt idx="19">
                  <c:v>-4.7423000000170932</c:v>
                </c:pt>
                <c:pt idx="20">
                  <c:v>-4.689869999897863</c:v>
                </c:pt>
                <c:pt idx="21">
                  <c:v>-4.6935999998734177</c:v>
                </c:pt>
                <c:pt idx="22">
                  <c:v>-4.6475600000608539</c:v>
                </c:pt>
                <c:pt idx="23">
                  <c:v>-4.5575799999433473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BE-4E61-951D-567AEC4EA268}"/>
            </c:ext>
          </c:extLst>
        </c:ser>
        <c:ser>
          <c:idx val="6"/>
          <c:order val="5"/>
          <c:tx>
            <c:strRef>
              <c:f>Checks!$A$10</c:f>
              <c:strCache>
                <c:ptCount val="1"/>
                <c:pt idx="0">
                  <c:v>ah11b2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Checks!$B$10:$AB$10</c:f>
              <c:numCache>
                <c:formatCode>0.00</c:formatCode>
                <c:ptCount val="27"/>
                <c:pt idx="0">
                  <c:v>-5.1200999990799376</c:v>
                </c:pt>
                <c:pt idx="1">
                  <c:v>-5.1193700000187379</c:v>
                </c:pt>
                <c:pt idx="2">
                  <c:v>-5.0815800000006037</c:v>
                </c:pt>
                <c:pt idx="3">
                  <c:v>-5.1440400009497198</c:v>
                </c:pt>
                <c:pt idx="4">
                  <c:v>-5.1176900001017787</c:v>
                </c:pt>
                <c:pt idx="5">
                  <c:v>-5.2244400001635514</c:v>
                </c:pt>
                <c:pt idx="6">
                  <c:v>-5.0911199999017684</c:v>
                </c:pt>
                <c:pt idx="7">
                  <c:v>-5.1047599989209234</c:v>
                </c:pt>
                <c:pt idx="8">
                  <c:v>-5.1413399999491647</c:v>
                </c:pt>
                <c:pt idx="9">
                  <c:v>-5.1268099989689917</c:v>
                </c:pt>
                <c:pt idx="10">
                  <c:v>-5.0812500000843217</c:v>
                </c:pt>
                <c:pt idx="11">
                  <c:v>-5.0966900001405877</c:v>
                </c:pt>
                <c:pt idx="12">
                  <c:v>-5.0592900000437</c:v>
                </c:pt>
                <c:pt idx="13">
                  <c:v>-5.0556400000747646</c:v>
                </c:pt>
                <c:pt idx="14">
                  <c:v>-5.0175700000334631</c:v>
                </c:pt>
                <c:pt idx="15">
                  <c:v>-5.0150199999334975</c:v>
                </c:pt>
                <c:pt idx="16">
                  <c:v>-4.9826300001401167</c:v>
                </c:pt>
                <c:pt idx="17">
                  <c:v>-4.9861300002076634</c:v>
                </c:pt>
                <c:pt idx="18">
                  <c:v>-4.979219999857972</c:v>
                </c:pt>
                <c:pt idx="19">
                  <c:v>-4.9705000000246544</c:v>
                </c:pt>
                <c:pt idx="20">
                  <c:v>-4.9256699998681173</c:v>
                </c:pt>
                <c:pt idx="21">
                  <c:v>-4.9445999998800803</c:v>
                </c:pt>
                <c:pt idx="22">
                  <c:v>-4.8886600000255429</c:v>
                </c:pt>
                <c:pt idx="23">
                  <c:v>-4.787880000013641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BE-4E61-951D-567AEC4EA268}"/>
            </c:ext>
          </c:extLst>
        </c:ser>
        <c:ser>
          <c:idx val="7"/>
          <c:order val="6"/>
          <c:tx>
            <c:strRef>
              <c:f>Checks!$A$11</c:f>
              <c:strCache>
                <c:ptCount val="1"/>
                <c:pt idx="0">
                  <c:v>ah11c2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Checks!$B$11:$AB$11</c:f>
              <c:numCache>
                <c:formatCode>0.00</c:formatCode>
                <c:ptCount val="27"/>
                <c:pt idx="0">
                  <c:v>-4.61519999904871</c:v>
                </c:pt>
                <c:pt idx="1">
                  <c:v>-4.627400000946321</c:v>
                </c:pt>
                <c:pt idx="2">
                  <c:v>-4.6079000009982183</c:v>
                </c:pt>
                <c:pt idx="3">
                  <c:v>-4.6076999999824695</c:v>
                </c:pt>
                <c:pt idx="4">
                  <c:v>-4.6083000000321137</c:v>
                </c:pt>
                <c:pt idx="5">
                  <c:v>-4.5969999999853259</c:v>
                </c:pt>
                <c:pt idx="6">
                  <c:v>-4.5995000000811546</c:v>
                </c:pt>
                <c:pt idx="7">
                  <c:v>-4.5942999989847708</c:v>
                </c:pt>
                <c:pt idx="8">
                  <c:v>-4.6028000001321532</c:v>
                </c:pt>
                <c:pt idx="9">
                  <c:v>-4.6046999990681146</c:v>
                </c:pt>
                <c:pt idx="10">
                  <c:v>-4.5967999999687779</c:v>
                </c:pt>
                <c:pt idx="11">
                  <c:v>-4.5892000001171072</c:v>
                </c:pt>
                <c:pt idx="12">
                  <c:v>-4.5777000009419497</c:v>
                </c:pt>
                <c:pt idx="13">
                  <c:v>-4.5816000000433919</c:v>
                </c:pt>
                <c:pt idx="14">
                  <c:v>-4.562600000025637</c:v>
                </c:pt>
                <c:pt idx="15">
                  <c:v>-4.5332000000355608</c:v>
                </c:pt>
                <c:pt idx="16">
                  <c:v>-4.5194000000039667</c:v>
                </c:pt>
                <c:pt idx="17">
                  <c:v>-4.5147000001701985</c:v>
                </c:pt>
                <c:pt idx="18">
                  <c:v>-4.513400000062636</c:v>
                </c:pt>
                <c:pt idx="19">
                  <c:v>-4.5109999999750814</c:v>
                </c:pt>
                <c:pt idx="20">
                  <c:v>-4.4712999999099354</c:v>
                </c:pt>
                <c:pt idx="21">
                  <c:v>-4.4633999999224203</c:v>
                </c:pt>
                <c:pt idx="22">
                  <c:v>-4.4412999999812373</c:v>
                </c:pt>
                <c:pt idx="23">
                  <c:v>-4.3421999999973169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CBE-4E61-951D-567AEC4EA268}"/>
            </c:ext>
          </c:extLst>
        </c:ser>
        <c:ser>
          <c:idx val="8"/>
          <c:order val="7"/>
          <c:tx>
            <c:strRef>
              <c:f>Checks!$A$12</c:f>
              <c:strCache>
                <c:ptCount val="1"/>
                <c:pt idx="0">
                  <c:v>ah11d2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Checks!$B$12:$AB$12</c:f>
              <c:numCache>
                <c:formatCode>0.00</c:formatCode>
                <c:ptCount val="27"/>
                <c:pt idx="0">
                  <c:v>-3.7731999989923013</c:v>
                </c:pt>
                <c:pt idx="1">
                  <c:v>-3.8127000000400999</c:v>
                </c:pt>
                <c:pt idx="2">
                  <c:v>-3.8610000000396569</c:v>
                </c:pt>
                <c:pt idx="3">
                  <c:v>-3.8489000000376992</c:v>
                </c:pt>
                <c:pt idx="4">
                  <c:v>-3.8453000000729007</c:v>
                </c:pt>
                <c:pt idx="5">
                  <c:v>-3.8346000010749579</c:v>
                </c:pt>
                <c:pt idx="6">
                  <c:v>-3.8377000009983862</c:v>
                </c:pt>
                <c:pt idx="7">
                  <c:v>-3.8401999988737687</c:v>
                </c:pt>
                <c:pt idx="8">
                  <c:v>-3.8451000010555534</c:v>
                </c:pt>
                <c:pt idx="9">
                  <c:v>-3.852899999036393</c:v>
                </c:pt>
                <c:pt idx="10">
                  <c:v>-3.8426000009597248</c:v>
                </c:pt>
                <c:pt idx="11">
                  <c:v>-3.8151000000166322</c:v>
                </c:pt>
                <c:pt idx="12">
                  <c:v>-3.7945000009767158</c:v>
                </c:pt>
                <c:pt idx="13">
                  <c:v>-3.7936999999113228</c:v>
                </c:pt>
                <c:pt idx="14">
                  <c:v>-3.7352999999642664</c:v>
                </c:pt>
                <c:pt idx="15">
                  <c:v>-3.6940000008769589</c:v>
                </c:pt>
                <c:pt idx="16">
                  <c:v>-3.649699999987118</c:v>
                </c:pt>
                <c:pt idx="17">
                  <c:v>-3.6834000001109333</c:v>
                </c:pt>
                <c:pt idx="18">
                  <c:v>-3.6920000000453443</c:v>
                </c:pt>
                <c:pt idx="19">
                  <c:v>-3.6873999999978055</c:v>
                </c:pt>
                <c:pt idx="20">
                  <c:v>-3.651199999889184</c:v>
                </c:pt>
                <c:pt idx="21">
                  <c:v>-3.6401999999782406</c:v>
                </c:pt>
                <c:pt idx="22">
                  <c:v>-3.5417000000439645</c:v>
                </c:pt>
                <c:pt idx="23">
                  <c:v>-3.5162999999407605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36-4876-8E30-7A255611C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76976"/>
        <c:axId val="97073040"/>
      </c:scatterChart>
      <c:valAx>
        <c:axId val="97076976"/>
        <c:scaling>
          <c:orientation val="minMax"/>
          <c:max val="45550"/>
          <c:min val="4465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73040"/>
        <c:crosses val="autoZero"/>
        <c:crossBetween val="midCat"/>
      </c:valAx>
      <c:valAx>
        <c:axId val="97073040"/>
        <c:scaling>
          <c:orientation val="minMax"/>
          <c:max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7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6665165052182922"/>
          <c:y val="0.79912117301598939"/>
          <c:w val="0.42176313894473894"/>
          <c:h val="0.11004722596807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Permutables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955757728527674E-2"/>
          <c:y val="7.3750131233595806E-2"/>
          <c:w val="0.89009959453138732"/>
          <c:h val="0.87069448818897632"/>
        </c:manualLayout>
      </c:layout>
      <c:scatterChart>
        <c:scatterStyle val="lineMarker"/>
        <c:varyColors val="0"/>
        <c:ser>
          <c:idx val="0"/>
          <c:order val="0"/>
          <c:tx>
            <c:v>PC01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Checks!$B$21:$AB$21</c:f>
              <c:numCache>
                <c:formatCode>0.00</c:formatCode>
                <c:ptCount val="27"/>
                <c:pt idx="0">
                  <c:v>36.462200000984858</c:v>
                </c:pt>
                <c:pt idx="1">
                  <c:v>36.588329999985604</c:v>
                </c:pt>
                <c:pt idx="5">
                  <c:v>34.514759999836087</c:v>
                </c:pt>
                <c:pt idx="6">
                  <c:v>33.60247999995989</c:v>
                </c:pt>
                <c:pt idx="7">
                  <c:v>67.583040001105473</c:v>
                </c:pt>
                <c:pt idx="8">
                  <c:v>33.989960000156728</c:v>
                </c:pt>
                <c:pt idx="9">
                  <c:v>33.718390000890587</c:v>
                </c:pt>
                <c:pt idx="10">
                  <c:v>33.755649999754645</c:v>
                </c:pt>
                <c:pt idx="11">
                  <c:v>33.085009999998839</c:v>
                </c:pt>
                <c:pt idx="12">
                  <c:v>33.213109999828717</c:v>
                </c:pt>
                <c:pt idx="13">
                  <c:v>33.109059999990343</c:v>
                </c:pt>
                <c:pt idx="14">
                  <c:v>34.864330000004863</c:v>
                </c:pt>
                <c:pt idx="15">
                  <c:v>37.329080000102245</c:v>
                </c:pt>
                <c:pt idx="16">
                  <c:v>37.803669999846058</c:v>
                </c:pt>
                <c:pt idx="17">
                  <c:v>37.702069999988353</c:v>
                </c:pt>
                <c:pt idx="18">
                  <c:v>36.149480000201329</c:v>
                </c:pt>
                <c:pt idx="19">
                  <c:v>38.342699999925657</c:v>
                </c:pt>
                <c:pt idx="20">
                  <c:v>39.798530000144417</c:v>
                </c:pt>
                <c:pt idx="21">
                  <c:v>39.666000000059022</c:v>
                </c:pt>
                <c:pt idx="22">
                  <c:v>40.24093999989018</c:v>
                </c:pt>
                <c:pt idx="23">
                  <c:v>38.235120000017254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61-4258-BB6E-80863ABCC336}"/>
            </c:ext>
          </c:extLst>
        </c:ser>
        <c:ser>
          <c:idx val="1"/>
          <c:order val="1"/>
          <c:tx>
            <c:v>PC02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Checks!$B$22:$AB$22</c:f>
              <c:numCache>
                <c:formatCode>0.00</c:formatCode>
                <c:ptCount val="27"/>
                <c:pt idx="0">
                  <c:v>12.731200001013558</c:v>
                </c:pt>
                <c:pt idx="1">
                  <c:v>12.854329999988128</c:v>
                </c:pt>
                <c:pt idx="5">
                  <c:v>8.0947599998646247</c:v>
                </c:pt>
                <c:pt idx="6">
                  <c:v>7.6464799999662416</c:v>
                </c:pt>
                <c:pt idx="7">
                  <c:v>26.517040001015939</c:v>
                </c:pt>
                <c:pt idx="8">
                  <c:v>8.197959999965736</c:v>
                </c:pt>
                <c:pt idx="9">
                  <c:v>7.6863900008259192</c:v>
                </c:pt>
                <c:pt idx="10">
                  <c:v>7.7456499997339092</c:v>
                </c:pt>
                <c:pt idx="11">
                  <c:v>7.2410099997241941</c:v>
                </c:pt>
                <c:pt idx="12">
                  <c:v>7.229109999960829</c:v>
                </c:pt>
                <c:pt idx="13">
                  <c:v>7.0840600000607692</c:v>
                </c:pt>
                <c:pt idx="14">
                  <c:v>8.8763299998060141</c:v>
                </c:pt>
                <c:pt idx="15">
                  <c:v>11.366079990203541</c:v>
                </c:pt>
                <c:pt idx="16">
                  <c:v>11.775670000112353</c:v>
                </c:pt>
                <c:pt idx="17">
                  <c:v>11.576069999917653</c:v>
                </c:pt>
                <c:pt idx="18">
                  <c:v>11.531480000114041</c:v>
                </c:pt>
                <c:pt idx="19">
                  <c:v>13.737700000025814</c:v>
                </c:pt>
                <c:pt idx="20">
                  <c:v>15.109529999955722</c:v>
                </c:pt>
                <c:pt idx="21">
                  <c:v>14.993999999944645</c:v>
                </c:pt>
                <c:pt idx="22">
                  <c:v>15.528940000018903</c:v>
                </c:pt>
                <c:pt idx="23">
                  <c:v>13.463120000066535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61-4258-BB6E-80863ABCC336}"/>
            </c:ext>
          </c:extLst>
        </c:ser>
        <c:ser>
          <c:idx val="2"/>
          <c:order val="2"/>
          <c:tx>
            <c:v>PC03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Checks!$B$23:$AB$23</c:f>
              <c:numCache>
                <c:formatCode>0.00</c:formatCode>
                <c:ptCount val="27"/>
                <c:pt idx="0">
                  <c:v>10.14820000090209</c:v>
                </c:pt>
                <c:pt idx="1">
                  <c:v>10.29232999983785</c:v>
                </c:pt>
                <c:pt idx="5">
                  <c:v>6.0907599999202402</c:v>
                </c:pt>
                <c:pt idx="6">
                  <c:v>5.5044800001500063</c:v>
                </c:pt>
                <c:pt idx="7">
                  <c:v>17.250040000980942</c:v>
                </c:pt>
                <c:pt idx="8">
                  <c:v>5.982960000104657</c:v>
                </c:pt>
                <c:pt idx="9">
                  <c:v>5.558390001057826</c:v>
                </c:pt>
                <c:pt idx="10">
                  <c:v>5.6246499998788648</c:v>
                </c:pt>
                <c:pt idx="11">
                  <c:v>4.9910099998537829</c:v>
                </c:pt>
                <c:pt idx="12">
                  <c:v>5.0501099999697798</c:v>
                </c:pt>
                <c:pt idx="13">
                  <c:v>4.8800599999996122</c:v>
                </c:pt>
                <c:pt idx="14">
                  <c:v>6.638330000040308</c:v>
                </c:pt>
                <c:pt idx="15">
                  <c:v>8.9820800001181134</c:v>
                </c:pt>
                <c:pt idx="16">
                  <c:v>9.4606699999708432</c:v>
                </c:pt>
                <c:pt idx="17">
                  <c:v>9.2740699997415454</c:v>
                </c:pt>
                <c:pt idx="18">
                  <c:v>8.5604800000957759</c:v>
                </c:pt>
                <c:pt idx="19">
                  <c:v>10.72970000005478</c:v>
                </c:pt>
                <c:pt idx="20">
                  <c:v>12.041529999905247</c:v>
                </c:pt>
                <c:pt idx="21">
                  <c:v>11.952000000047018</c:v>
                </c:pt>
                <c:pt idx="22">
                  <c:v>12.549939999782804</c:v>
                </c:pt>
                <c:pt idx="23">
                  <c:v>10.367119999919776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61-4258-BB6E-80863ABCC336}"/>
            </c:ext>
          </c:extLst>
        </c:ser>
        <c:ser>
          <c:idx val="3"/>
          <c:order val="3"/>
          <c:tx>
            <c:v>PC04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Checks!$B$24:$AB$24</c:f>
              <c:numCache>
                <c:formatCode>0.00</c:formatCode>
                <c:ptCount val="27"/>
                <c:pt idx="0">
                  <c:v>20.669200000998682</c:v>
                </c:pt>
                <c:pt idx="1">
                  <c:v>20.817330000043359</c:v>
                </c:pt>
                <c:pt idx="5">
                  <c:v>15.228759999939872</c:v>
                </c:pt>
                <c:pt idx="6">
                  <c:v>14.954480000005415</c:v>
                </c:pt>
                <c:pt idx="7">
                  <c:v>24.492040001110364</c:v>
                </c:pt>
                <c:pt idx="8">
                  <c:v>15.566959990175082</c:v>
                </c:pt>
                <c:pt idx="9">
                  <c:v>14.962389990889928</c:v>
                </c:pt>
                <c:pt idx="10">
                  <c:v>15.031649999951195</c:v>
                </c:pt>
                <c:pt idx="11">
                  <c:v>14.567009999920426</c:v>
                </c:pt>
                <c:pt idx="12">
                  <c:v>14.507109999960281</c:v>
                </c:pt>
                <c:pt idx="13">
                  <c:v>14.332060000020501</c:v>
                </c:pt>
                <c:pt idx="14">
                  <c:v>16.082329999843363</c:v>
                </c:pt>
                <c:pt idx="15">
                  <c:v>18.599080000024397</c:v>
                </c:pt>
                <c:pt idx="16">
                  <c:v>18.96767000010156</c:v>
                </c:pt>
                <c:pt idx="17">
                  <c:v>18.680069999953179</c:v>
                </c:pt>
                <c:pt idx="18">
                  <c:v>19.245479999995023</c:v>
                </c:pt>
                <c:pt idx="19">
                  <c:v>21.460699999985327</c:v>
                </c:pt>
                <c:pt idx="20">
                  <c:v>22.783530000079804</c:v>
                </c:pt>
                <c:pt idx="21">
                  <c:v>22.671000000094903</c:v>
                </c:pt>
                <c:pt idx="22">
                  <c:v>23.196939999868587</c:v>
                </c:pt>
                <c:pt idx="23">
                  <c:v>21.082120000080788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61-4258-BB6E-80863ABCC336}"/>
            </c:ext>
          </c:extLst>
        </c:ser>
        <c:ser>
          <c:idx val="4"/>
          <c:order val="4"/>
          <c:tx>
            <c:v>PC05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Checks!$B$25:$AB$25</c:f>
              <c:numCache>
                <c:formatCode>0.00</c:formatCode>
                <c:ptCount val="27"/>
                <c:pt idx="0">
                  <c:v>-2.9795999990547459</c:v>
                </c:pt>
                <c:pt idx="1">
                  <c:v>-2.8503700000195495</c:v>
                </c:pt>
                <c:pt idx="5">
                  <c:v>-3.4948400000525313</c:v>
                </c:pt>
                <c:pt idx="6">
                  <c:v>-5.6396199998767402</c:v>
                </c:pt>
                <c:pt idx="7">
                  <c:v>3.3290399909055948</c:v>
                </c:pt>
                <c:pt idx="8">
                  <c:v>-5.6829399999083394</c:v>
                </c:pt>
                <c:pt idx="9">
                  <c:v>-5.3214099990830563</c:v>
                </c:pt>
                <c:pt idx="10">
                  <c:v>-5.4150500001695265</c:v>
                </c:pt>
                <c:pt idx="11">
                  <c:v>-6.096490000041773</c:v>
                </c:pt>
                <c:pt idx="12">
                  <c:v>-5.8368900001006994</c:v>
                </c:pt>
                <c:pt idx="13">
                  <c:v>-5.7111400001321941</c:v>
                </c:pt>
                <c:pt idx="14">
                  <c:v>-4.2287700000489723</c:v>
                </c:pt>
                <c:pt idx="15">
                  <c:v>-2.0129199998955203</c:v>
                </c:pt>
                <c:pt idx="16">
                  <c:v>-1.3903300001185857</c:v>
                </c:pt>
                <c:pt idx="17">
                  <c:v>-1.6759300003235298</c:v>
                </c:pt>
                <c:pt idx="18">
                  <c:v>-5.5842199998448381</c:v>
                </c:pt>
                <c:pt idx="19">
                  <c:v>-3.3800000000985451</c:v>
                </c:pt>
                <c:pt idx="20">
                  <c:v>-1.9684699999924691</c:v>
                </c:pt>
                <c:pt idx="21">
                  <c:v>-2.1159999999867027</c:v>
                </c:pt>
                <c:pt idx="22">
                  <c:v>-1.757060000041851</c:v>
                </c:pt>
                <c:pt idx="23">
                  <c:v>-4.0541800000362302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061-4258-BB6E-80863ABCC336}"/>
            </c:ext>
          </c:extLst>
        </c:ser>
        <c:ser>
          <c:idx val="5"/>
          <c:order val="5"/>
          <c:tx>
            <c:v>PC06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Checks!$B$26:$AB$26</c:f>
              <c:numCache>
                <c:formatCode>0.00</c:formatCode>
                <c:ptCount val="27"/>
                <c:pt idx="0">
                  <c:v>21.453200001030108</c:v>
                </c:pt>
                <c:pt idx="1">
                  <c:v>21.599329999909305</c:v>
                </c:pt>
                <c:pt idx="5">
                  <c:v>15.76575999996253</c:v>
                </c:pt>
                <c:pt idx="6">
                  <c:v>15.617480000017263</c:v>
                </c:pt>
                <c:pt idx="7">
                  <c:v>23.992039991048468</c:v>
                </c:pt>
                <c:pt idx="8">
                  <c:v>16.273960000044756</c:v>
                </c:pt>
                <c:pt idx="9">
                  <c:v>15.59939000096298</c:v>
                </c:pt>
                <c:pt idx="10">
                  <c:v>15.678649989979458</c:v>
                </c:pt>
                <c:pt idx="11">
                  <c:v>15.245009999841113</c:v>
                </c:pt>
                <c:pt idx="12">
                  <c:v>15.183109999937532</c:v>
                </c:pt>
                <c:pt idx="13">
                  <c:v>14.991059989931426</c:v>
                </c:pt>
                <c:pt idx="14">
                  <c:v>16.715329999815491</c:v>
                </c:pt>
                <c:pt idx="15">
                  <c:v>19.112080000059688</c:v>
                </c:pt>
                <c:pt idx="16">
                  <c:v>19.570670000033967</c:v>
                </c:pt>
                <c:pt idx="17">
                  <c:v>19.224069999666842</c:v>
                </c:pt>
                <c:pt idx="18">
                  <c:v>20.063479999953042</c:v>
                </c:pt>
                <c:pt idx="19">
                  <c:v>22.265699999977944</c:v>
                </c:pt>
                <c:pt idx="20">
                  <c:v>23.537530000071509</c:v>
                </c:pt>
                <c:pt idx="21">
                  <c:v>23.463999999982814</c:v>
                </c:pt>
                <c:pt idx="22">
                  <c:v>24.024939999765831</c:v>
                </c:pt>
                <c:pt idx="23">
                  <c:v>21.844120000068283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061-4258-BB6E-80863ABCC336}"/>
            </c:ext>
          </c:extLst>
        </c:ser>
        <c:ser>
          <c:idx val="6"/>
          <c:order val="6"/>
          <c:tx>
            <c:v>PC07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Checks!$B$27:$AB$27</c:f>
              <c:numCache>
                <c:formatCode>0.00</c:formatCode>
                <c:ptCount val="27"/>
                <c:pt idx="0">
                  <c:v>29.823200001009891</c:v>
                </c:pt>
                <c:pt idx="1">
                  <c:v>29.971329999832523</c:v>
                </c:pt>
                <c:pt idx="5">
                  <c:v>28.866759999922369</c:v>
                </c:pt>
                <c:pt idx="6">
                  <c:v>27.801480000043437</c:v>
                </c:pt>
                <c:pt idx="7">
                  <c:v>35.187040001170878</c:v>
                </c:pt>
                <c:pt idx="8">
                  <c:v>28.142959999986932</c:v>
                </c:pt>
                <c:pt idx="9">
                  <c:v>27.918390001056874</c:v>
                </c:pt>
                <c:pt idx="10">
                  <c:v>27.963649999916722</c:v>
                </c:pt>
                <c:pt idx="11">
                  <c:v>27.285009999943082</c:v>
                </c:pt>
                <c:pt idx="12">
                  <c:v>27.419109999825313</c:v>
                </c:pt>
                <c:pt idx="13">
                  <c:v>27.378059990100549</c:v>
                </c:pt>
                <c:pt idx="14">
                  <c:v>29.079329999857944</c:v>
                </c:pt>
                <c:pt idx="15">
                  <c:v>31.574080000217091</c:v>
                </c:pt>
                <c:pt idx="16">
                  <c:v>32.068669999839351</c:v>
                </c:pt>
                <c:pt idx="17">
                  <c:v>32.008069999821288</c:v>
                </c:pt>
                <c:pt idx="18">
                  <c:v>29.962480000099472</c:v>
                </c:pt>
                <c:pt idx="19">
                  <c:v>32.1546999999631</c:v>
                </c:pt>
                <c:pt idx="20">
                  <c:v>33.603530000046767</c:v>
                </c:pt>
                <c:pt idx="21">
                  <c:v>33.518000000075411</c:v>
                </c:pt>
                <c:pt idx="22">
                  <c:v>34.095939999932746</c:v>
                </c:pt>
                <c:pt idx="23">
                  <c:v>32.127120000012589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061-4258-BB6E-80863ABCC336}"/>
            </c:ext>
          </c:extLst>
        </c:ser>
        <c:ser>
          <c:idx val="7"/>
          <c:order val="7"/>
          <c:tx>
            <c:v>PC08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Checks!$B$28:$AB$28</c:f>
              <c:numCache>
                <c:formatCode>0.00</c:formatCode>
                <c:ptCount val="27"/>
                <c:pt idx="0">
                  <c:v>22.785200000884114</c:v>
                </c:pt>
                <c:pt idx="1">
                  <c:v>22.949329989928362</c:v>
                </c:pt>
                <c:pt idx="5">
                  <c:v>19.630760000009833</c:v>
                </c:pt>
                <c:pt idx="6">
                  <c:v>18.928479990197626</c:v>
                </c:pt>
                <c:pt idx="7">
                  <c:v>26.003040000897908</c:v>
                </c:pt>
                <c:pt idx="8">
                  <c:v>19.390959989938654</c:v>
                </c:pt>
                <c:pt idx="9">
                  <c:v>19.01339000099787</c:v>
                </c:pt>
                <c:pt idx="10">
                  <c:v>19.07264999990586</c:v>
                </c:pt>
                <c:pt idx="11">
                  <c:v>18.517009999895233</c:v>
                </c:pt>
                <c:pt idx="12">
                  <c:v>18.600109999998597</c:v>
                </c:pt>
                <c:pt idx="13">
                  <c:v>18.443059999993832</c:v>
                </c:pt>
                <c:pt idx="14">
                  <c:v>20.196330000064915</c:v>
                </c:pt>
                <c:pt idx="15">
                  <c:v>22.522080000207705</c:v>
                </c:pt>
                <c:pt idx="16">
                  <c:v>23.046670000091733</c:v>
                </c:pt>
                <c:pt idx="17">
                  <c:v>22.760069999804049</c:v>
                </c:pt>
                <c:pt idx="18">
                  <c:v>21.77648000002284</c:v>
                </c:pt>
                <c:pt idx="19">
                  <c:v>23.933700000099183</c:v>
                </c:pt>
                <c:pt idx="20">
                  <c:v>25.202529999944527</c:v>
                </c:pt>
                <c:pt idx="21">
                  <c:v>25.142000000043279</c:v>
                </c:pt>
                <c:pt idx="22">
                  <c:v>25.790940000002021</c:v>
                </c:pt>
                <c:pt idx="23">
                  <c:v>23.723120000106217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061-4258-BB6E-80863ABCC336}"/>
            </c:ext>
          </c:extLst>
        </c:ser>
        <c:ser>
          <c:idx val="8"/>
          <c:order val="8"/>
          <c:tx>
            <c:v>PC09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Checks!$B$29:$AB$29</c:f>
              <c:numCache>
                <c:formatCode>0.00</c:formatCode>
                <c:ptCount val="27"/>
                <c:pt idx="0">
                  <c:v>35.648199990921704</c:v>
                </c:pt>
                <c:pt idx="1">
                  <c:v>35.799329999984565</c:v>
                </c:pt>
                <c:pt idx="5">
                  <c:v>32.051759989891494</c:v>
                </c:pt>
                <c:pt idx="6">
                  <c:v>31.250480000087659</c:v>
                </c:pt>
                <c:pt idx="7">
                  <c:v>37.595040001013636</c:v>
                </c:pt>
                <c:pt idx="8">
                  <c:v>31.733959990019915</c:v>
                </c:pt>
                <c:pt idx="9">
                  <c:v>31.419390000962704</c:v>
                </c:pt>
                <c:pt idx="10">
                  <c:v>31.476649999927258</c:v>
                </c:pt>
                <c:pt idx="11">
                  <c:v>31.036009999883856</c:v>
                </c:pt>
                <c:pt idx="12">
                  <c:v>31.132109999952622</c:v>
                </c:pt>
                <c:pt idx="13">
                  <c:v>31.058059989939917</c:v>
                </c:pt>
                <c:pt idx="14">
                  <c:v>32.835329999990371</c:v>
                </c:pt>
                <c:pt idx="15">
                  <c:v>35.340080000066699</c:v>
                </c:pt>
                <c:pt idx="16">
                  <c:v>35.796669999875498</c:v>
                </c:pt>
                <c:pt idx="17">
                  <c:v>35.545069999819191</c:v>
                </c:pt>
                <c:pt idx="18">
                  <c:v>34.725480000062682</c:v>
                </c:pt>
                <c:pt idx="19">
                  <c:v>36.926700000004843</c:v>
                </c:pt>
                <c:pt idx="20">
                  <c:v>38.391530000080088</c:v>
                </c:pt>
                <c:pt idx="21">
                  <c:v>38.29200000006059</c:v>
                </c:pt>
                <c:pt idx="22">
                  <c:v>38.894939999988033</c:v>
                </c:pt>
                <c:pt idx="23">
                  <c:v>36.946119999946326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061-4258-BB6E-80863ABCC336}"/>
            </c:ext>
          </c:extLst>
        </c:ser>
        <c:ser>
          <c:idx val="9"/>
          <c:order val="9"/>
          <c:tx>
            <c:v>PC10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Checks!$B$30:$AB$30</c:f>
              <c:numCache>
                <c:formatCode>0.00</c:formatCode>
                <c:ptCount val="27"/>
                <c:pt idx="0">
                  <c:v>38.865200000858003</c:v>
                </c:pt>
                <c:pt idx="1">
                  <c:v>39.037329999890048</c:v>
                </c:pt>
                <c:pt idx="5">
                  <c:v>39.355759999813756</c:v>
                </c:pt>
                <c:pt idx="6">
                  <c:v>37.52948000003007</c:v>
                </c:pt>
                <c:pt idx="7">
                  <c:v>43.479040000914161</c:v>
                </c:pt>
                <c:pt idx="8">
                  <c:v>37.62095999993862</c:v>
                </c:pt>
                <c:pt idx="9">
                  <c:v>37.787389990949528</c:v>
                </c:pt>
                <c:pt idx="10">
                  <c:v>37.75964999975654</c:v>
                </c:pt>
                <c:pt idx="11">
                  <c:v>36.996009999855396</c:v>
                </c:pt>
                <c:pt idx="12">
                  <c:v>37.247109999870332</c:v>
                </c:pt>
                <c:pt idx="13">
                  <c:v>37.284059999929987</c:v>
                </c:pt>
                <c:pt idx="14">
                  <c:v>38.932329999973071</c:v>
                </c:pt>
                <c:pt idx="15">
                  <c:v>41.215080000110738</c:v>
                </c:pt>
                <c:pt idx="16">
                  <c:v>41.80266999987834</c:v>
                </c:pt>
                <c:pt idx="17">
                  <c:v>41.514069999869264</c:v>
                </c:pt>
                <c:pt idx="18">
                  <c:v>37.721479999929009</c:v>
                </c:pt>
                <c:pt idx="19">
                  <c:v>39.937700000002053</c:v>
                </c:pt>
                <c:pt idx="20">
                  <c:v>41.264530000205447</c:v>
                </c:pt>
                <c:pt idx="21">
                  <c:v>41.194000000142928</c:v>
                </c:pt>
                <c:pt idx="22">
                  <c:v>41.729940000077882</c:v>
                </c:pt>
                <c:pt idx="23">
                  <c:v>39.555119999988598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061-4258-BB6E-80863ABCC336}"/>
            </c:ext>
          </c:extLst>
        </c:ser>
        <c:ser>
          <c:idx val="10"/>
          <c:order val="10"/>
          <c:tx>
            <c:v>PC11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Checks!$B$31:$AB$31</c:f>
              <c:numCache>
                <c:formatCode>0.00</c:formatCode>
                <c:ptCount val="27"/>
                <c:pt idx="0">
                  <c:v>21.180199990876485</c:v>
                </c:pt>
                <c:pt idx="1">
                  <c:v>21.330329999856605</c:v>
                </c:pt>
                <c:pt idx="5">
                  <c:v>19.589759999948146</c:v>
                </c:pt>
                <c:pt idx="6">
                  <c:v>18.392480000027671</c:v>
                </c:pt>
                <c:pt idx="7">
                  <c:v>24.185040001022156</c:v>
                </c:pt>
                <c:pt idx="8">
                  <c:v>18.654960000096015</c:v>
                </c:pt>
                <c:pt idx="9">
                  <c:v>18.576390001033598</c:v>
                </c:pt>
                <c:pt idx="10">
                  <c:v>18.590649990001022</c:v>
                </c:pt>
                <c:pt idx="11">
                  <c:v>17.915010000045566</c:v>
                </c:pt>
                <c:pt idx="12">
                  <c:v>18.058109999784282</c:v>
                </c:pt>
                <c:pt idx="13">
                  <c:v>17.972059999880923</c:v>
                </c:pt>
                <c:pt idx="14">
                  <c:v>19.569329999923095</c:v>
                </c:pt>
                <c:pt idx="15">
                  <c:v>21.794080000146803</c:v>
                </c:pt>
                <c:pt idx="16">
                  <c:v>22.145669999927602</c:v>
                </c:pt>
                <c:pt idx="17">
                  <c:v>22.020069999860485</c:v>
                </c:pt>
                <c:pt idx="18">
                  <c:v>19.53747999995235</c:v>
                </c:pt>
                <c:pt idx="19">
                  <c:v>21.741699999920687</c:v>
                </c:pt>
                <c:pt idx="20">
                  <c:v>22.930530000252229</c:v>
                </c:pt>
                <c:pt idx="21">
                  <c:v>22.883999999955034</c:v>
                </c:pt>
                <c:pt idx="22">
                  <c:v>23.416939999863811</c:v>
                </c:pt>
                <c:pt idx="23">
                  <c:v>21.142119999938185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061-4258-BB6E-80863ABC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402592"/>
        <c:axId val="377404232"/>
      </c:scatterChart>
      <c:valAx>
        <c:axId val="377402592"/>
        <c:scaling>
          <c:orientation val="minMax"/>
          <c:max val="45550"/>
          <c:min val="4465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404232"/>
        <c:crosses val="autoZero"/>
        <c:crossBetween val="midCat"/>
      </c:valAx>
      <c:valAx>
        <c:axId val="377404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40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941583254747083"/>
          <c:y val="0.23407340475883137"/>
          <c:w val="0.77756258166254322"/>
          <c:h val="0.165301023614719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GR and SB 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Checks!$A$13</c:f>
              <c:strCache>
                <c:ptCount val="1"/>
                <c:pt idx="0">
                  <c:v>gr10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Checks!$B$13:$AB$13</c:f>
              <c:numCache>
                <c:formatCode>0.00</c:formatCode>
                <c:ptCount val="27"/>
                <c:pt idx="0">
                  <c:v>25.004199990862102</c:v>
                </c:pt>
                <c:pt idx="1">
                  <c:v>24.948329990125178</c:v>
                </c:pt>
                <c:pt idx="2">
                  <c:v>4.5719199999281015</c:v>
                </c:pt>
                <c:pt idx="3">
                  <c:v>18.600260000122031</c:v>
                </c:pt>
                <c:pt idx="4">
                  <c:v>18.942109999874095</c:v>
                </c:pt>
                <c:pt idx="5">
                  <c:v>18.057759999977367</c:v>
                </c:pt>
                <c:pt idx="6">
                  <c:v>18.15848000020635</c:v>
                </c:pt>
                <c:pt idx="7">
                  <c:v>17.882040001092374</c:v>
                </c:pt>
                <c:pt idx="8">
                  <c:v>17.885959999973426</c:v>
                </c:pt>
                <c:pt idx="9">
                  <c:v>17.755390000827358</c:v>
                </c:pt>
                <c:pt idx="10">
                  <c:v>17.871649989796605</c:v>
                </c:pt>
                <c:pt idx="11">
                  <c:v>16.705009999849789</c:v>
                </c:pt>
                <c:pt idx="12">
                  <c:v>16.643109989954201</c:v>
                </c:pt>
                <c:pt idx="13">
                  <c:v>22.886059999903434</c:v>
                </c:pt>
                <c:pt idx="14">
                  <c:v>17.596329999879128</c:v>
                </c:pt>
                <c:pt idx="15">
                  <c:v>18.118080000194308</c:v>
                </c:pt>
                <c:pt idx="16">
                  <c:v>17.638670000051686</c:v>
                </c:pt>
                <c:pt idx="17">
                  <c:v>17.526069999727927</c:v>
                </c:pt>
                <c:pt idx="18">
                  <c:v>17.438480000141237</c:v>
                </c:pt>
                <c:pt idx="19">
                  <c:v>17.389699999990942</c:v>
                </c:pt>
                <c:pt idx="20">
                  <c:v>17.716530000054558</c:v>
                </c:pt>
                <c:pt idx="21">
                  <c:v>17.34799999998236</c:v>
                </c:pt>
                <c:pt idx="22">
                  <c:v>16.250939999805407</c:v>
                </c:pt>
                <c:pt idx="23">
                  <c:v>16.133120000048944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B4-4FC3-A6B7-E0AC65644206}"/>
            </c:ext>
          </c:extLst>
        </c:ser>
        <c:ser>
          <c:idx val="1"/>
          <c:order val="1"/>
          <c:tx>
            <c:strRef>
              <c:f>Checks!$A$14</c:f>
              <c:strCache>
                <c:ptCount val="1"/>
                <c:pt idx="0">
                  <c:v>gr100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Checks!$B$14:$AB$14</c:f>
              <c:numCache>
                <c:formatCode>0.00</c:formatCode>
                <c:ptCount val="27"/>
                <c:pt idx="0">
                  <c:v>41.55860000100018</c:v>
                </c:pt>
                <c:pt idx="1">
                  <c:v>41.520499999957195</c:v>
                </c:pt>
                <c:pt idx="2">
                  <c:v>31.864499999932665</c:v>
                </c:pt>
                <c:pt idx="3">
                  <c:v>38.491199999889126</c:v>
                </c:pt>
                <c:pt idx="4">
                  <c:v>38.625599999796179</c:v>
                </c:pt>
                <c:pt idx="5">
                  <c:v>38.552599999973381</c:v>
                </c:pt>
                <c:pt idx="6">
                  <c:v>38.554300000003018</c:v>
                </c:pt>
                <c:pt idx="7">
                  <c:v>38.555300000973936</c:v>
                </c:pt>
                <c:pt idx="8">
                  <c:v>38.58229999998828</c:v>
                </c:pt>
                <c:pt idx="9">
                  <c:v>38.605300001114152</c:v>
                </c:pt>
                <c:pt idx="10">
                  <c:v>38.628799999949926</c:v>
                </c:pt>
                <c:pt idx="11">
                  <c:v>38.247899999964453</c:v>
                </c:pt>
                <c:pt idx="12">
                  <c:v>38.235699999954221</c:v>
                </c:pt>
                <c:pt idx="13">
                  <c:v>41.074200000000594</c:v>
                </c:pt>
                <c:pt idx="14">
                  <c:v>38.420900000067682</c:v>
                </c:pt>
                <c:pt idx="15">
                  <c:v>38.579799999892451</c:v>
                </c:pt>
                <c:pt idx="16">
                  <c:v>38.545399999932762</c:v>
                </c:pt>
                <c:pt idx="17">
                  <c:v>38.542999999845208</c:v>
                </c:pt>
                <c:pt idx="18">
                  <c:v>38.548099999934117</c:v>
                </c:pt>
                <c:pt idx="19">
                  <c:v>38.587900000007537</c:v>
                </c:pt>
                <c:pt idx="20">
                  <c:v>39.123500000025381</c:v>
                </c:pt>
                <c:pt idx="21">
                  <c:v>39.03600000011307</c:v>
                </c:pt>
                <c:pt idx="22">
                  <c:v>38.526599999931555</c:v>
                </c:pt>
                <c:pt idx="23">
                  <c:v>38.784499999954015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B4-4FC3-A6B7-E0AC65644206}"/>
            </c:ext>
          </c:extLst>
        </c:ser>
        <c:ser>
          <c:idx val="2"/>
          <c:order val="2"/>
          <c:tx>
            <c:strRef>
              <c:f>Checks!$A$15</c:f>
              <c:strCache>
                <c:ptCount val="1"/>
                <c:pt idx="0">
                  <c:v>gr1000a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Checks!$B$15:$AB$15</c:f>
              <c:numCache>
                <c:formatCode>0.00</c:formatCode>
                <c:ptCount val="27"/>
                <c:pt idx="0">
                  <c:v>31.941239990850061</c:v>
                </c:pt>
                <c:pt idx="1">
                  <c:v>31.889716999976319</c:v>
                </c:pt>
                <c:pt idx="2">
                  <c:v>25.808258000036037</c:v>
                </c:pt>
                <c:pt idx="3">
                  <c:v>30.014393990095183</c:v>
                </c:pt>
                <c:pt idx="4">
                  <c:v>30.151448989777823</c:v>
                </c:pt>
                <c:pt idx="5">
                  <c:v>30.310883999860909</c:v>
                </c:pt>
                <c:pt idx="6">
                  <c:v>30.277181989900352</c:v>
                </c:pt>
                <c:pt idx="7">
                  <c:v>30.378526001083355</c:v>
                </c:pt>
                <c:pt idx="8">
                  <c:v>30.454633999986473</c:v>
                </c:pt>
                <c:pt idx="9">
                  <c:v>30.471291000987204</c:v>
                </c:pt>
                <c:pt idx="10">
                  <c:v>30.486314989929024</c:v>
                </c:pt>
                <c:pt idx="11">
                  <c:v>30.201188999999555</c:v>
                </c:pt>
                <c:pt idx="12">
                  <c:v>30.225358999889966</c:v>
                </c:pt>
                <c:pt idx="13">
                  <c:v>31.793813989887436</c:v>
                </c:pt>
                <c:pt idx="14">
                  <c:v>29.850756999914889</c:v>
                </c:pt>
                <c:pt idx="15">
                  <c:v>29.927972000086438</c:v>
                </c:pt>
                <c:pt idx="16">
                  <c:v>29.949472999955855</c:v>
                </c:pt>
                <c:pt idx="17">
                  <c:v>29.927892999835652</c:v>
                </c:pt>
                <c:pt idx="18">
                  <c:v>29.912462000135402</c:v>
                </c:pt>
                <c:pt idx="19">
                  <c:v>29.898820000050268</c:v>
                </c:pt>
                <c:pt idx="20">
                  <c:v>30.372096999974101</c:v>
                </c:pt>
                <c:pt idx="21">
                  <c:v>30.244100000086132</c:v>
                </c:pt>
                <c:pt idx="22">
                  <c:v>29.781465999866068</c:v>
                </c:pt>
                <c:pt idx="23">
                  <c:v>30.154438000039345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B4-4FC3-A6B7-E0AC65644206}"/>
            </c:ext>
          </c:extLst>
        </c:ser>
        <c:ser>
          <c:idx val="3"/>
          <c:order val="3"/>
          <c:tx>
            <c:strRef>
              <c:f>Checks!$A$16</c:f>
              <c:strCache>
                <c:ptCount val="1"/>
                <c:pt idx="0">
                  <c:v>gr1000b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Checks!$B$16:$AB$16</c:f>
              <c:numCache>
                <c:formatCode>0.00</c:formatCode>
                <c:ptCount val="27"/>
                <c:pt idx="0">
                  <c:v>16.14124000094284</c:v>
                </c:pt>
                <c:pt idx="1">
                  <c:v>16.104716989993921</c:v>
                </c:pt>
                <c:pt idx="2">
                  <c:v>9.6782579999219287</c:v>
                </c:pt>
                <c:pt idx="3">
                  <c:v>13.080393990071197</c:v>
                </c:pt>
                <c:pt idx="4">
                  <c:v>14.013448999881977</c:v>
                </c:pt>
                <c:pt idx="5">
                  <c:v>14.098883989853466</c:v>
                </c:pt>
                <c:pt idx="6">
                  <c:v>14.055181999937698</c:v>
                </c:pt>
                <c:pt idx="7">
                  <c:v>14.156525990914641</c:v>
                </c:pt>
                <c:pt idx="8">
                  <c:v>14.211633990078614</c:v>
                </c:pt>
                <c:pt idx="9">
                  <c:v>14.221291000936258</c:v>
                </c:pt>
                <c:pt idx="10">
                  <c:v>14.230314989825725</c:v>
                </c:pt>
                <c:pt idx="11">
                  <c:v>4.647188999960842</c:v>
                </c:pt>
                <c:pt idx="12">
                  <c:v>2.628359000010664</c:v>
                </c:pt>
                <c:pt idx="13">
                  <c:v>3.6688139998339677</c:v>
                </c:pt>
                <c:pt idx="14">
                  <c:v>13.465757000018268</c:v>
                </c:pt>
                <c:pt idx="15">
                  <c:v>14.02597199019338</c:v>
                </c:pt>
                <c:pt idx="16">
                  <c:v>14.038472999976275</c:v>
                </c:pt>
                <c:pt idx="17">
                  <c:v>13.994892999812141</c:v>
                </c:pt>
                <c:pt idx="18">
                  <c:v>13.810462000117578</c:v>
                </c:pt>
                <c:pt idx="19">
                  <c:v>0.83182000000101919</c:v>
                </c:pt>
                <c:pt idx="20">
                  <c:v>3.9780969999334372</c:v>
                </c:pt>
                <c:pt idx="21">
                  <c:v>10.462100000006895</c:v>
                </c:pt>
                <c:pt idx="22">
                  <c:v>1.2774659999923257</c:v>
                </c:pt>
                <c:pt idx="23">
                  <c:v>-2.4396620000768552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B4-4FC3-A6B7-E0AC65644206}"/>
            </c:ext>
          </c:extLst>
        </c:ser>
        <c:ser>
          <c:idx val="4"/>
          <c:order val="4"/>
          <c:tx>
            <c:strRef>
              <c:f>Checks!$A$17</c:f>
              <c:strCache>
                <c:ptCount val="1"/>
                <c:pt idx="0">
                  <c:v>es13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Checks!$B$17:$AB$17</c:f>
              <c:numCache>
                <c:formatCode>0.00</c:formatCode>
                <c:ptCount val="27"/>
                <c:pt idx="0">
                  <c:v>-12.983199999196078</c:v>
                </c:pt>
                <c:pt idx="1">
                  <c:v>-12.923370000018881</c:v>
                </c:pt>
                <c:pt idx="2">
                  <c:v>-19.017280000190002</c:v>
                </c:pt>
                <c:pt idx="3">
                  <c:v>-14.511740000212843</c:v>
                </c:pt>
                <c:pt idx="4">
                  <c:v>-13.067790000088859</c:v>
                </c:pt>
                <c:pt idx="5">
                  <c:v>-12.1226400020449</c:v>
                </c:pt>
                <c:pt idx="6">
                  <c:v>-11.891920000052476</c:v>
                </c:pt>
                <c:pt idx="7">
                  <c:v>-11.323359999083866</c:v>
                </c:pt>
                <c:pt idx="8">
                  <c:v>-11.565840002160339</c:v>
                </c:pt>
                <c:pt idx="9">
                  <c:v>-11.472309999084569</c:v>
                </c:pt>
                <c:pt idx="10">
                  <c:v>-11.337649999933159</c:v>
                </c:pt>
                <c:pt idx="11">
                  <c:v>-11.369689999919625</c:v>
                </c:pt>
                <c:pt idx="12">
                  <c:v>-11.256589999998585</c:v>
                </c:pt>
                <c:pt idx="13">
                  <c:v>-8.519140000097476</c:v>
                </c:pt>
                <c:pt idx="14">
                  <c:v>-11.545970000072199</c:v>
                </c:pt>
                <c:pt idx="15">
                  <c:v>-11.450720000073762</c:v>
                </c:pt>
                <c:pt idx="16">
                  <c:v>-11.503830000027211</c:v>
                </c:pt>
                <c:pt idx="17">
                  <c:v>-11.581830000041666</c:v>
                </c:pt>
                <c:pt idx="18">
                  <c:v>-11.604520000031666</c:v>
                </c:pt>
                <c:pt idx="19">
                  <c:v>-11.18330000004077</c:v>
                </c:pt>
                <c:pt idx="20">
                  <c:v>-11.638969999995492</c:v>
                </c:pt>
                <c:pt idx="21">
                  <c:v>-11.727399999762707</c:v>
                </c:pt>
                <c:pt idx="22">
                  <c:v>-12.225460000116168</c:v>
                </c:pt>
                <c:pt idx="23">
                  <c:v>-12.044079999985708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B4-4FC3-A6B7-E0AC65644206}"/>
            </c:ext>
          </c:extLst>
        </c:ser>
        <c:ser>
          <c:idx val="5"/>
          <c:order val="5"/>
          <c:tx>
            <c:strRef>
              <c:f>Checks!$A$19</c:f>
              <c:strCache>
                <c:ptCount val="1"/>
                <c:pt idx="0">
                  <c:v>es14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Checks!$B$19:$AB$19</c:f>
              <c:numCache>
                <c:formatCode>0.00</c:formatCode>
                <c:ptCount val="27"/>
                <c:pt idx="0">
                  <c:v>98.922200000860258</c:v>
                </c:pt>
                <c:pt idx="1">
                  <c:v>98.934630000001334</c:v>
                </c:pt>
                <c:pt idx="2">
                  <c:v>90.583119997998708</c:v>
                </c:pt>
                <c:pt idx="3">
                  <c:v>95.131859999884924</c:v>
                </c:pt>
                <c:pt idx="4">
                  <c:v>97.977209999831928</c:v>
                </c:pt>
                <c:pt idx="5">
                  <c:v>95.787359999831324</c:v>
                </c:pt>
                <c:pt idx="6">
                  <c:v>98.237279999922919</c:v>
                </c:pt>
                <c:pt idx="7">
                  <c:v>101.4764400010346</c:v>
                </c:pt>
                <c:pt idx="8">
                  <c:v>100.10055999988141</c:v>
                </c:pt>
                <c:pt idx="9">
                  <c:v>101.01329000090507</c:v>
                </c:pt>
                <c:pt idx="10">
                  <c:v>101.40114999991211</c:v>
                </c:pt>
                <c:pt idx="11">
                  <c:v>100.8491099999773</c:v>
                </c:pt>
                <c:pt idx="12">
                  <c:v>101.14220999991461</c:v>
                </c:pt>
                <c:pt idx="13">
                  <c:v>104.82465999984568</c:v>
                </c:pt>
                <c:pt idx="14">
                  <c:v>101.21662999996593</c:v>
                </c:pt>
                <c:pt idx="15">
                  <c:v>102.1038799981042</c:v>
                </c:pt>
                <c:pt idx="16">
                  <c:v>102.16737000002672</c:v>
                </c:pt>
                <c:pt idx="17">
                  <c:v>102.13176999985672</c:v>
                </c:pt>
                <c:pt idx="18">
                  <c:v>101.46827999991535</c:v>
                </c:pt>
                <c:pt idx="19">
                  <c:v>101.69870000021761</c:v>
                </c:pt>
                <c:pt idx="20">
                  <c:v>103.61482999988601</c:v>
                </c:pt>
                <c:pt idx="21">
                  <c:v>101.19100000006574</c:v>
                </c:pt>
                <c:pt idx="22">
                  <c:v>98.955339999827515</c:v>
                </c:pt>
                <c:pt idx="23">
                  <c:v>101.54131999996351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B4-4FC3-A6B7-E0AC65644206}"/>
            </c:ext>
          </c:extLst>
        </c:ser>
        <c:ser>
          <c:idx val="6"/>
          <c:order val="6"/>
          <c:tx>
            <c:strRef>
              <c:f>Checks!$A$20</c:f>
              <c:strCache>
                <c:ptCount val="1"/>
                <c:pt idx="0">
                  <c:v>ub1000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Checks!$B$3:$AB$3</c:f>
              <c:numCache>
                <c:formatCode>m/d/yyyy</c:formatCode>
                <c:ptCount val="27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45013</c:v>
                </c:pt>
                <c:pt idx="16">
                  <c:v>45054</c:v>
                </c:pt>
                <c:pt idx="17">
                  <c:v>45062</c:v>
                </c:pt>
                <c:pt idx="18">
                  <c:v>45063</c:v>
                </c:pt>
                <c:pt idx="19">
                  <c:v>45069</c:v>
                </c:pt>
                <c:pt idx="20">
                  <c:v>45198</c:v>
                </c:pt>
                <c:pt idx="21">
                  <c:v>45201</c:v>
                </c:pt>
                <c:pt idx="22">
                  <c:v>45278</c:v>
                </c:pt>
                <c:pt idx="23">
                  <c:v>45498</c:v>
                </c:pt>
              </c:numCache>
            </c:numRef>
          </c:xVal>
          <c:yVal>
            <c:numRef>
              <c:f>Checks!$B$20:$AB$20</c:f>
              <c:numCache>
                <c:formatCode>0.00</c:formatCode>
                <c:ptCount val="27"/>
                <c:pt idx="0">
                  <c:v>164.04424000094761</c:v>
                </c:pt>
                <c:pt idx="1">
                  <c:v>165.06371698988698</c:v>
                </c:pt>
                <c:pt idx="2">
                  <c:v>147.40925799007076</c:v>
                </c:pt>
                <c:pt idx="3">
                  <c:v>145.96639399989542</c:v>
                </c:pt>
                <c:pt idx="4">
                  <c:v>141.97544898998248</c:v>
                </c:pt>
                <c:pt idx="5">
                  <c:v>154.30988400001323</c:v>
                </c:pt>
                <c:pt idx="6">
                  <c:v>155.03718199994941</c:v>
                </c:pt>
                <c:pt idx="7">
                  <c:v>154.10752600110018</c:v>
                </c:pt>
                <c:pt idx="8">
                  <c:v>155.24963400005288</c:v>
                </c:pt>
                <c:pt idx="9">
                  <c:v>149.78429100088593</c:v>
                </c:pt>
                <c:pt idx="10">
                  <c:v>151.17831498979581</c:v>
                </c:pt>
                <c:pt idx="11">
                  <c:v>149.31018899989465</c:v>
                </c:pt>
                <c:pt idx="12">
                  <c:v>153.99135899985959</c:v>
                </c:pt>
                <c:pt idx="13">
                  <c:v>156.50781399990518</c:v>
                </c:pt>
                <c:pt idx="14">
                  <c:v>168.98175699998492</c:v>
                </c:pt>
                <c:pt idx="15">
                  <c:v>158.21197200017599</c:v>
                </c:pt>
                <c:pt idx="16">
                  <c:v>167.90947299994838</c:v>
                </c:pt>
                <c:pt idx="17">
                  <c:v>158.47689299986899</c:v>
                </c:pt>
                <c:pt idx="18">
                  <c:v>154.72046199994514</c:v>
                </c:pt>
                <c:pt idx="19">
                  <c:v>147.8158200001287</c:v>
                </c:pt>
                <c:pt idx="20">
                  <c:v>139.01309699993899</c:v>
                </c:pt>
                <c:pt idx="21">
                  <c:v>139.69610000009601</c:v>
                </c:pt>
                <c:pt idx="22">
                  <c:v>163.56546599983622</c:v>
                </c:pt>
                <c:pt idx="23">
                  <c:v>141.60043800005437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B4-4FC3-A6B7-E0AC65644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260392"/>
        <c:axId val="571261704"/>
      </c:scatterChart>
      <c:valAx>
        <c:axId val="571260392"/>
        <c:scaling>
          <c:orientation val="minMax"/>
          <c:max val="45550"/>
          <c:min val="4465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61704"/>
        <c:crosses val="autoZero"/>
        <c:crossBetween val="midCat"/>
      </c:valAx>
      <c:valAx>
        <c:axId val="57126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60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031121109861265"/>
          <c:y val="0.11943413210532804"/>
          <c:w val="0.63444723651280255"/>
          <c:h val="4.35567106690101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GR10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0794712770549759"/>
                  <c:y val="4.2511271456921629E-2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Summary!$B$36:$Q$36</c:f>
              <c:numCache>
                <c:formatCode>General</c:formatCode>
                <c:ptCount val="16"/>
                <c:pt idx="0">
                  <c:v>1020.73</c:v>
                </c:pt>
                <c:pt idx="1">
                  <c:v>1021.26</c:v>
                </c:pt>
                <c:pt idx="2">
                  <c:v>1006.48</c:v>
                </c:pt>
                <c:pt idx="3">
                  <c:v>1003.76</c:v>
                </c:pt>
                <c:pt idx="4">
                  <c:v>993.03</c:v>
                </c:pt>
                <c:pt idx="5">
                  <c:v>1022.34</c:v>
                </c:pt>
                <c:pt idx="6">
                  <c:v>1024.7</c:v>
                </c:pt>
                <c:pt idx="7">
                  <c:v>1024.52</c:v>
                </c:pt>
                <c:pt idx="8">
                  <c:v>1028.29</c:v>
                </c:pt>
                <c:pt idx="9">
                  <c:v>1022.3</c:v>
                </c:pt>
                <c:pt idx="10">
                  <c:v>1022.16</c:v>
                </c:pt>
                <c:pt idx="11">
                  <c:v>1020.69</c:v>
                </c:pt>
                <c:pt idx="12">
                  <c:v>1030.3900000000001</c:v>
                </c:pt>
                <c:pt idx="13">
                  <c:v>1021.37</c:v>
                </c:pt>
                <c:pt idx="14">
                  <c:v>1024.17</c:v>
                </c:pt>
                <c:pt idx="15">
                  <c:v>45013</c:v>
                </c:pt>
              </c:numCache>
            </c:numRef>
          </c:xVal>
          <c:yVal>
            <c:numRef>
              <c:f>Summary!$B$38:$Q$38</c:f>
              <c:numCache>
                <c:formatCode>0.00</c:formatCode>
                <c:ptCount val="16"/>
                <c:pt idx="0">
                  <c:v>17.758449880873176</c:v>
                </c:pt>
                <c:pt idx="1">
                  <c:v>17.603323029314488</c:v>
                </c:pt>
                <c:pt idx="2">
                  <c:v>18.854980833180239</c:v>
                </c:pt>
                <c:pt idx="3">
                  <c:v>18.699516850943795</c:v>
                </c:pt>
                <c:pt idx="4">
                  <c:v>18.912332944627565</c:v>
                </c:pt>
                <c:pt idx="5">
                  <c:v>18.00713900605826</c:v>
                </c:pt>
                <c:pt idx="6">
                  <c:v>18.237885480863753</c:v>
                </c:pt>
                <c:pt idx="7">
                  <c:v>17.823478459107527</c:v>
                </c:pt>
                <c:pt idx="8">
                  <c:v>17.89092284251452</c:v>
                </c:pt>
                <c:pt idx="9">
                  <c:v>17.691865616301435</c:v>
                </c:pt>
                <c:pt idx="10">
                  <c:v>17.343107259170697</c:v>
                </c:pt>
                <c:pt idx="11">
                  <c:v>17.147695554514875</c:v>
                </c:pt>
                <c:pt idx="12">
                  <c:v>17.088276965889825</c:v>
                </c:pt>
                <c:pt idx="13">
                  <c:v>17.155962001962887</c:v>
                </c:pt>
                <c:pt idx="14">
                  <c:v>18.060355777470878</c:v>
                </c:pt>
                <c:pt idx="15">
                  <c:v>39.021492986049303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8D-4C0F-9A03-CD532C6D7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940392"/>
        <c:axId val="748941112"/>
      </c:scatterChart>
      <c:valAx>
        <c:axId val="748940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941112"/>
        <c:crosses val="autoZero"/>
        <c:crossBetween val="midCat"/>
      </c:valAx>
      <c:valAx>
        <c:axId val="74894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940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GR100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0794712770549759"/>
                  <c:y val="4.2511271456921629E-2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Summary!$B$36:$Q$36</c:f>
              <c:numCache>
                <c:formatCode>General</c:formatCode>
                <c:ptCount val="16"/>
                <c:pt idx="0">
                  <c:v>1020.73</c:v>
                </c:pt>
                <c:pt idx="1">
                  <c:v>1021.26</c:v>
                </c:pt>
                <c:pt idx="2">
                  <c:v>1006.48</c:v>
                </c:pt>
                <c:pt idx="3">
                  <c:v>1003.76</c:v>
                </c:pt>
                <c:pt idx="4">
                  <c:v>993.03</c:v>
                </c:pt>
                <c:pt idx="5">
                  <c:v>1022.34</c:v>
                </c:pt>
                <c:pt idx="6">
                  <c:v>1024.7</c:v>
                </c:pt>
                <c:pt idx="7">
                  <c:v>1024.52</c:v>
                </c:pt>
                <c:pt idx="8">
                  <c:v>1028.29</c:v>
                </c:pt>
                <c:pt idx="9">
                  <c:v>1022.3</c:v>
                </c:pt>
                <c:pt idx="10">
                  <c:v>1022.16</c:v>
                </c:pt>
                <c:pt idx="11">
                  <c:v>1020.69</c:v>
                </c:pt>
                <c:pt idx="12">
                  <c:v>1030.3900000000001</c:v>
                </c:pt>
                <c:pt idx="13">
                  <c:v>1021.37</c:v>
                </c:pt>
                <c:pt idx="14">
                  <c:v>1024.17</c:v>
                </c:pt>
                <c:pt idx="15">
                  <c:v>45013</c:v>
                </c:pt>
              </c:numCache>
            </c:numRef>
          </c:xVal>
          <c:yVal>
            <c:numRef>
              <c:f>Summary!$B$39:$Q$39</c:f>
              <c:numCache>
                <c:formatCode>0.00</c:formatCode>
                <c:ptCount val="16"/>
                <c:pt idx="0">
                  <c:v>38.200708269046146</c:v>
                </c:pt>
                <c:pt idx="1">
                  <c:v>38.116609751127079</c:v>
                </c:pt>
                <c:pt idx="2">
                  <c:v>38.483686578400956</c:v>
                </c:pt>
                <c:pt idx="3">
                  <c:v>38.537198516765208</c:v>
                </c:pt>
                <c:pt idx="4">
                  <c:v>38.611800444733355</c:v>
                </c:pt>
                <c:pt idx="5">
                  <c:v>38.52914075636658</c:v>
                </c:pt>
                <c:pt idx="6">
                  <c:v>38.591098813503876</c:v>
                </c:pt>
                <c:pt idx="7">
                  <c:v>38.528160876017047</c:v>
                </c:pt>
                <c:pt idx="8">
                  <c:v>38.584599925832087</c:v>
                </c:pt>
                <c:pt idx="9">
                  <c:v>38.575860950313462</c:v>
                </c:pt>
                <c:pt idx="10">
                  <c:v>38.383857897584782</c:v>
                </c:pt>
                <c:pt idx="11">
                  <c:v>38.453053385231783</c:v>
                </c:pt>
                <c:pt idx="12">
                  <c:v>38.442003348143452</c:v>
                </c:pt>
                <c:pt idx="13">
                  <c:v>38.418705620744348</c:v>
                </c:pt>
                <c:pt idx="14">
                  <c:v>38.635943066463369</c:v>
                </c:pt>
                <c:pt idx="15">
                  <c:v>30.132665400185001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16-48E2-80A6-5A6052106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940392"/>
        <c:axId val="748941112"/>
      </c:scatterChart>
      <c:valAx>
        <c:axId val="748940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941112"/>
        <c:crosses val="autoZero"/>
        <c:crossBetween val="midCat"/>
      </c:valAx>
      <c:valAx>
        <c:axId val="74894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940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GR1000a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0794712770549759"/>
                  <c:y val="4.2511271456921629E-2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Summary!$B$36:$Q$36</c:f>
              <c:numCache>
                <c:formatCode>General</c:formatCode>
                <c:ptCount val="16"/>
                <c:pt idx="0">
                  <c:v>1020.73</c:v>
                </c:pt>
                <c:pt idx="1">
                  <c:v>1021.26</c:v>
                </c:pt>
                <c:pt idx="2">
                  <c:v>1006.48</c:v>
                </c:pt>
                <c:pt idx="3">
                  <c:v>1003.76</c:v>
                </c:pt>
                <c:pt idx="4">
                  <c:v>993.03</c:v>
                </c:pt>
                <c:pt idx="5">
                  <c:v>1022.34</c:v>
                </c:pt>
                <c:pt idx="6">
                  <c:v>1024.7</c:v>
                </c:pt>
                <c:pt idx="7">
                  <c:v>1024.52</c:v>
                </c:pt>
                <c:pt idx="8">
                  <c:v>1028.29</c:v>
                </c:pt>
                <c:pt idx="9">
                  <c:v>1022.3</c:v>
                </c:pt>
                <c:pt idx="10">
                  <c:v>1022.16</c:v>
                </c:pt>
                <c:pt idx="11">
                  <c:v>1020.69</c:v>
                </c:pt>
                <c:pt idx="12">
                  <c:v>1030.3900000000001</c:v>
                </c:pt>
                <c:pt idx="13">
                  <c:v>1021.37</c:v>
                </c:pt>
                <c:pt idx="14">
                  <c:v>1024.17</c:v>
                </c:pt>
                <c:pt idx="15">
                  <c:v>45013</c:v>
                </c:pt>
              </c:numCache>
            </c:numRef>
          </c:xVal>
          <c:yVal>
            <c:numRef>
              <c:f>Summary!$B$40:$Q$40</c:f>
              <c:numCache>
                <c:formatCode>0.00</c:formatCode>
                <c:ptCount val="16"/>
                <c:pt idx="0">
                  <c:v>29.946720842763433</c:v>
                </c:pt>
                <c:pt idx="1">
                  <c:v>29.867875671778915</c:v>
                </c:pt>
                <c:pt idx="2">
                  <c:v>29.739919717976665</c:v>
                </c:pt>
                <c:pt idx="3">
                  <c:v>30.041716170205959</c:v>
                </c:pt>
                <c:pt idx="4">
                  <c:v>30.143252335744588</c:v>
                </c:pt>
                <c:pt idx="5">
                  <c:v>30.29694968800441</c:v>
                </c:pt>
                <c:pt idx="6">
                  <c:v>30.29903973398897</c:v>
                </c:pt>
                <c:pt idx="7">
                  <c:v>30.362405914817995</c:v>
                </c:pt>
                <c:pt idx="8">
                  <c:v>30.456000108992015</c:v>
                </c:pt>
                <c:pt idx="9">
                  <c:v>30.45380480571631</c:v>
                </c:pt>
                <c:pt idx="10">
                  <c:v>30.340824380839141</c:v>
                </c:pt>
                <c:pt idx="11">
                  <c:v>30.323045923293616</c:v>
                </c:pt>
                <c:pt idx="12">
                  <c:v>30.347898977686796</c:v>
                </c:pt>
                <c:pt idx="13">
                  <c:v>30.216504532092355</c:v>
                </c:pt>
                <c:pt idx="14">
                  <c:v>29.978488191932765</c:v>
                </c:pt>
                <c:pt idx="15">
                  <c:v>14.14755569168633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66-49F8-AE41-083569F49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940392"/>
        <c:axId val="748941112"/>
      </c:scatterChart>
      <c:valAx>
        <c:axId val="748940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941112"/>
        <c:crosses val="autoZero"/>
        <c:crossBetween val="midCat"/>
      </c:valAx>
      <c:valAx>
        <c:axId val="74894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940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GR1000b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0794712770549759"/>
                  <c:y val="4.2511271456921629E-2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Summary!$B$44:$N$44</c:f>
              <c:numCache>
                <c:formatCode>General</c:formatCode>
                <c:ptCount val="13"/>
                <c:pt idx="0">
                  <c:v>1020.73</c:v>
                </c:pt>
                <c:pt idx="1">
                  <c:v>1021.26</c:v>
                </c:pt>
                <c:pt idx="2">
                  <c:v>1006.48</c:v>
                </c:pt>
                <c:pt idx="3">
                  <c:v>1003.76</c:v>
                </c:pt>
                <c:pt idx="4">
                  <c:v>993.03</c:v>
                </c:pt>
                <c:pt idx="5">
                  <c:v>1022.34</c:v>
                </c:pt>
                <c:pt idx="6">
                  <c:v>1024.7</c:v>
                </c:pt>
                <c:pt idx="7">
                  <c:v>1024.52</c:v>
                </c:pt>
                <c:pt idx="8">
                  <c:v>1028.29</c:v>
                </c:pt>
                <c:pt idx="9">
                  <c:v>1022.3</c:v>
                </c:pt>
                <c:pt idx="10">
                  <c:v>1022.16</c:v>
                </c:pt>
                <c:pt idx="11">
                  <c:v>1024.17</c:v>
                </c:pt>
                <c:pt idx="12">
                  <c:v>45013</c:v>
                </c:pt>
              </c:numCache>
            </c:numRef>
          </c:xVal>
          <c:yVal>
            <c:numRef>
              <c:f>Summary!$B$45:$N$45</c:f>
              <c:numCache>
                <c:formatCode>0.00</c:formatCode>
                <c:ptCount val="13"/>
                <c:pt idx="0">
                  <c:v>14.661845765190707</c:v>
                </c:pt>
                <c:pt idx="1">
                  <c:v>14.605057079779431</c:v>
                </c:pt>
                <c:pt idx="2">
                  <c:v>12.594488555055241</c:v>
                </c:pt>
                <c:pt idx="3">
                  <c:v>13.100659664533556</c:v>
                </c:pt>
                <c:pt idx="4">
                  <c:v>14.007369297543269</c:v>
                </c:pt>
                <c:pt idx="5">
                  <c:v>14.088548495877662</c:v>
                </c:pt>
                <c:pt idx="6">
                  <c:v>14.071394539507583</c:v>
                </c:pt>
                <c:pt idx="7">
                  <c:v>14.144569242981849</c:v>
                </c:pt>
                <c:pt idx="8">
                  <c:v>14.212647273801732</c:v>
                </c:pt>
                <c:pt idx="9">
                  <c:v>14.208320969280351</c:v>
                </c:pt>
                <c:pt idx="10">
                  <c:v>14.122400273313669</c:v>
                </c:pt>
                <c:pt idx="11">
                  <c:v>13.56049902812979</c:v>
                </c:pt>
                <c:pt idx="12">
                  <c:v>-11.36053774871627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94-4958-B975-CFE997650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940392"/>
        <c:axId val="748941112"/>
      </c:scatterChart>
      <c:valAx>
        <c:axId val="748940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941112"/>
        <c:crosses val="autoZero"/>
        <c:crossBetween val="midCat"/>
      </c:valAx>
      <c:valAx>
        <c:axId val="74894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940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gr1000a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Summary!$B$35:$Q$35</c:f>
              <c:numCache>
                <c:formatCode>m/d/yyyy</c:formatCode>
                <c:ptCount val="16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0</c:v>
                </c:pt>
              </c:numCache>
            </c:numRef>
          </c:xVal>
          <c:yVal>
            <c:numRef>
              <c:f>Summary!$B$40:$Q$40</c:f>
              <c:numCache>
                <c:formatCode>0.00</c:formatCode>
                <c:ptCount val="16"/>
                <c:pt idx="0">
                  <c:v>29.946720842763433</c:v>
                </c:pt>
                <c:pt idx="1">
                  <c:v>29.867875671778915</c:v>
                </c:pt>
                <c:pt idx="2">
                  <c:v>29.739919717976665</c:v>
                </c:pt>
                <c:pt idx="3">
                  <c:v>30.041716170205959</c:v>
                </c:pt>
                <c:pt idx="4">
                  <c:v>30.143252335744588</c:v>
                </c:pt>
                <c:pt idx="5">
                  <c:v>30.29694968800441</c:v>
                </c:pt>
                <c:pt idx="6">
                  <c:v>30.29903973398897</c:v>
                </c:pt>
                <c:pt idx="7">
                  <c:v>30.362405914817995</c:v>
                </c:pt>
                <c:pt idx="8">
                  <c:v>30.456000108992015</c:v>
                </c:pt>
                <c:pt idx="9">
                  <c:v>30.45380480571631</c:v>
                </c:pt>
                <c:pt idx="10">
                  <c:v>30.340824380839141</c:v>
                </c:pt>
                <c:pt idx="11">
                  <c:v>30.323045923293616</c:v>
                </c:pt>
                <c:pt idx="12">
                  <c:v>30.347898977686796</c:v>
                </c:pt>
                <c:pt idx="13">
                  <c:v>30.216504532092355</c:v>
                </c:pt>
                <c:pt idx="14">
                  <c:v>29.978488191932765</c:v>
                </c:pt>
                <c:pt idx="15">
                  <c:v>14.14755569168633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AB-4CFE-972B-558899350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028688"/>
        <c:axId val="744029048"/>
      </c:scatterChart>
      <c:valAx>
        <c:axId val="74402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29048"/>
        <c:crosses val="autoZero"/>
        <c:crossBetween val="midCat"/>
      </c:valAx>
      <c:valAx>
        <c:axId val="744029048"/>
        <c:scaling>
          <c:orientation val="minMax"/>
          <c:max val="31"/>
          <c:min val="2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2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gr1000b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Summary!$B$43:$N$43</c:f>
              <c:numCache>
                <c:formatCode>m/d/yyyy</c:formatCode>
                <c:ptCount val="13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44876</c:v>
                </c:pt>
                <c:pt idx="11">
                  <c:v>44942</c:v>
                </c:pt>
                <c:pt idx="12">
                  <c:v>0</c:v>
                </c:pt>
              </c:numCache>
            </c:numRef>
          </c:xVal>
          <c:yVal>
            <c:numRef>
              <c:f>Summary!$B$45:$N$45</c:f>
              <c:numCache>
                <c:formatCode>0.00</c:formatCode>
                <c:ptCount val="13"/>
                <c:pt idx="0">
                  <c:v>14.661845765190707</c:v>
                </c:pt>
                <c:pt idx="1">
                  <c:v>14.605057079779431</c:v>
                </c:pt>
                <c:pt idx="2">
                  <c:v>12.594488555055241</c:v>
                </c:pt>
                <c:pt idx="3">
                  <c:v>13.100659664533556</c:v>
                </c:pt>
                <c:pt idx="4">
                  <c:v>14.007369297543269</c:v>
                </c:pt>
                <c:pt idx="5">
                  <c:v>14.088548495877662</c:v>
                </c:pt>
                <c:pt idx="6">
                  <c:v>14.071394539507583</c:v>
                </c:pt>
                <c:pt idx="7">
                  <c:v>14.144569242981849</c:v>
                </c:pt>
                <c:pt idx="8">
                  <c:v>14.212647273801732</c:v>
                </c:pt>
                <c:pt idx="9">
                  <c:v>14.208320969280351</c:v>
                </c:pt>
                <c:pt idx="10">
                  <c:v>14.122400273313669</c:v>
                </c:pt>
                <c:pt idx="11">
                  <c:v>13.56049902812979</c:v>
                </c:pt>
                <c:pt idx="12">
                  <c:v>-11.36053774871627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F9-45F9-86EB-62A338142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028688"/>
        <c:axId val="744029048"/>
      </c:scatterChart>
      <c:valAx>
        <c:axId val="74402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29048"/>
        <c:crosses val="autoZero"/>
        <c:crossBetween val="midCat"/>
      </c:valAx>
      <c:valAx>
        <c:axId val="744029048"/>
        <c:scaling>
          <c:orientation val="minMax"/>
          <c:max val="14.8"/>
          <c:min val="1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2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gr100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Summary!$B$35:$Q$35</c:f>
              <c:numCache>
                <c:formatCode>m/d/yyyy</c:formatCode>
                <c:ptCount val="16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0</c:v>
                </c:pt>
              </c:numCache>
            </c:numRef>
          </c:xVal>
          <c:yVal>
            <c:numRef>
              <c:f>Summary!$B$39:$Q$39</c:f>
              <c:numCache>
                <c:formatCode>0.00</c:formatCode>
                <c:ptCount val="16"/>
                <c:pt idx="0">
                  <c:v>38.200708269046146</c:v>
                </c:pt>
                <c:pt idx="1">
                  <c:v>38.116609751127079</c:v>
                </c:pt>
                <c:pt idx="2">
                  <c:v>38.483686578400956</c:v>
                </c:pt>
                <c:pt idx="3">
                  <c:v>38.537198516765208</c:v>
                </c:pt>
                <c:pt idx="4">
                  <c:v>38.611800444733355</c:v>
                </c:pt>
                <c:pt idx="5">
                  <c:v>38.52914075636658</c:v>
                </c:pt>
                <c:pt idx="6">
                  <c:v>38.591098813503876</c:v>
                </c:pt>
                <c:pt idx="7">
                  <c:v>38.528160876017047</c:v>
                </c:pt>
                <c:pt idx="8">
                  <c:v>38.584599925832087</c:v>
                </c:pt>
                <c:pt idx="9">
                  <c:v>38.575860950313462</c:v>
                </c:pt>
                <c:pt idx="10">
                  <c:v>38.383857897584782</c:v>
                </c:pt>
                <c:pt idx="11">
                  <c:v>38.453053385231783</c:v>
                </c:pt>
                <c:pt idx="12">
                  <c:v>38.442003348143452</c:v>
                </c:pt>
                <c:pt idx="13">
                  <c:v>38.418705620744348</c:v>
                </c:pt>
                <c:pt idx="14">
                  <c:v>38.635943066463369</c:v>
                </c:pt>
                <c:pt idx="15">
                  <c:v>30.132665400185001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06-473F-9301-D74C6013B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028688"/>
        <c:axId val="744029048"/>
        <c:extLst/>
      </c:scatterChart>
      <c:valAx>
        <c:axId val="74402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29048"/>
        <c:crosses val="autoZero"/>
        <c:crossBetween val="midCat"/>
      </c:valAx>
      <c:valAx>
        <c:axId val="744029048"/>
        <c:scaling>
          <c:orientation val="minMax"/>
          <c:max val="39.5"/>
          <c:min val="3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2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AH11D1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Summary!$B$35:$Q$35</c:f>
              <c:numCache>
                <c:formatCode>m/d/yyyy</c:formatCode>
                <c:ptCount val="16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0</c:v>
                </c:pt>
              </c:numCache>
            </c:numRef>
          </c:xVal>
          <c:yVal>
            <c:numRef>
              <c:f>Summary!$B$9:$Q$9</c:f>
              <c:numCache>
                <c:formatCode>0.00</c:formatCode>
                <c:ptCount val="16"/>
                <c:pt idx="0">
                  <c:v>-4.2615999989905804</c:v>
                </c:pt>
                <c:pt idx="1">
                  <c:v>-4.2601999999849669</c:v>
                </c:pt>
                <c:pt idx="2">
                  <c:v>-4.253599999993992</c:v>
                </c:pt>
                <c:pt idx="3">
                  <c:v>-4.2538000001215623</c:v>
                </c:pt>
                <c:pt idx="4">
                  <c:v>-4.2527000000305479</c:v>
                </c:pt>
                <c:pt idx="5">
                  <c:v>-4.2498000000126455</c:v>
                </c:pt>
                <c:pt idx="6">
                  <c:v>-4.2498000010118462</c:v>
                </c:pt>
                <c:pt idx="7">
                  <c:v>-4.2505999998567932</c:v>
                </c:pt>
                <c:pt idx="8">
                  <c:v>-4.2500000000291935</c:v>
                </c:pt>
                <c:pt idx="9">
                  <c:v>-4.2560999999787983</c:v>
                </c:pt>
                <c:pt idx="10">
                  <c:v>-4.2429000001078707</c:v>
                </c:pt>
                <c:pt idx="11">
                  <c:v>-4.2383000000603319</c:v>
                </c:pt>
                <c:pt idx="12">
                  <c:v>-4.2285000000266324</c:v>
                </c:pt>
                <c:pt idx="13">
                  <c:v>-4.2252000000866561</c:v>
                </c:pt>
                <c:pt idx="14">
                  <c:v>-4.2074000000571674</c:v>
                </c:pt>
                <c:pt idx="15" formatCode="General">
                  <c:v>-4.7966199997375911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6B-4C52-A15A-9D7649F39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028688"/>
        <c:axId val="744029048"/>
        <c:extLst/>
      </c:scatterChart>
      <c:valAx>
        <c:axId val="74402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29048"/>
        <c:crosses val="autoZero"/>
        <c:crossBetween val="midCat"/>
      </c:valAx>
      <c:valAx>
        <c:axId val="744029048"/>
        <c:scaling>
          <c:orientation val="minMax"/>
          <c:max val="-3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2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gr1000b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Summary!$B$43:$N$43</c:f>
              <c:numCache>
                <c:formatCode>m/d/yyyy</c:formatCode>
                <c:ptCount val="13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44876</c:v>
                </c:pt>
                <c:pt idx="11">
                  <c:v>44942</c:v>
                </c:pt>
                <c:pt idx="12">
                  <c:v>0</c:v>
                </c:pt>
              </c:numCache>
            </c:numRef>
          </c:xVal>
          <c:yVal>
            <c:numRef>
              <c:f>Summary!$B$45:$N$45</c:f>
              <c:numCache>
                <c:formatCode>0.00</c:formatCode>
                <c:ptCount val="13"/>
                <c:pt idx="0">
                  <c:v>14.661845765190707</c:v>
                </c:pt>
                <c:pt idx="1">
                  <c:v>14.605057079779431</c:v>
                </c:pt>
                <c:pt idx="2">
                  <c:v>12.594488555055241</c:v>
                </c:pt>
                <c:pt idx="3">
                  <c:v>13.100659664533556</c:v>
                </c:pt>
                <c:pt idx="4">
                  <c:v>14.007369297543269</c:v>
                </c:pt>
                <c:pt idx="5">
                  <c:v>14.088548495877662</c:v>
                </c:pt>
                <c:pt idx="6">
                  <c:v>14.071394539507583</c:v>
                </c:pt>
                <c:pt idx="7">
                  <c:v>14.144569242981849</c:v>
                </c:pt>
                <c:pt idx="8">
                  <c:v>14.212647273801732</c:v>
                </c:pt>
                <c:pt idx="9">
                  <c:v>14.208320969280351</c:v>
                </c:pt>
                <c:pt idx="10">
                  <c:v>14.122400273313669</c:v>
                </c:pt>
                <c:pt idx="11">
                  <c:v>13.56049902812979</c:v>
                </c:pt>
                <c:pt idx="12">
                  <c:v>-11.36053774871627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E4-4CE1-B26A-B75B784F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028688"/>
        <c:axId val="744029048"/>
      </c:scatterChart>
      <c:valAx>
        <c:axId val="74402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29048"/>
        <c:crosses val="autoZero"/>
        <c:crossBetween val="midCat"/>
      </c:valAx>
      <c:valAx>
        <c:axId val="744029048"/>
        <c:scaling>
          <c:orientation val="minMax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2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4444589956400982"/>
                  <c:y val="-0.173050741347753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Summary!$B$86:$Q$86</c:f>
              <c:numCache>
                <c:formatCode>0.00</c:formatCode>
                <c:ptCount val="16"/>
                <c:pt idx="0">
                  <c:v>1020.73</c:v>
                </c:pt>
                <c:pt idx="1">
                  <c:v>1021.26</c:v>
                </c:pt>
                <c:pt idx="2">
                  <c:v>1006.48</c:v>
                </c:pt>
                <c:pt idx="3">
                  <c:v>1003.76</c:v>
                </c:pt>
                <c:pt idx="4">
                  <c:v>993.03</c:v>
                </c:pt>
                <c:pt idx="5">
                  <c:v>1022.34</c:v>
                </c:pt>
                <c:pt idx="6">
                  <c:v>1024.7</c:v>
                </c:pt>
                <c:pt idx="7">
                  <c:v>1024.52</c:v>
                </c:pt>
                <c:pt idx="8">
                  <c:v>1028.29</c:v>
                </c:pt>
                <c:pt idx="9">
                  <c:v>1022.3</c:v>
                </c:pt>
                <c:pt idx="10">
                  <c:v>1022.16</c:v>
                </c:pt>
                <c:pt idx="11">
                  <c:v>1020.69</c:v>
                </c:pt>
                <c:pt idx="12">
                  <c:v>1030.3900000000001</c:v>
                </c:pt>
                <c:pt idx="13">
                  <c:v>1021.37</c:v>
                </c:pt>
                <c:pt idx="14">
                  <c:v>1024.17</c:v>
                </c:pt>
                <c:pt idx="15">
                  <c:v>45013</c:v>
                </c:pt>
              </c:numCache>
            </c:numRef>
          </c:xVal>
          <c:yVal>
            <c:numRef>
              <c:f>Summary!$B$88:$Q$88</c:f>
              <c:numCache>
                <c:formatCode>0.00</c:formatCode>
                <c:ptCount val="16"/>
                <c:pt idx="0">
                  <c:v>164.04424000094761</c:v>
                </c:pt>
                <c:pt idx="1">
                  <c:v>165.06371698988698</c:v>
                </c:pt>
                <c:pt idx="2">
                  <c:v>147.40925799007076</c:v>
                </c:pt>
                <c:pt idx="3">
                  <c:v>145.96639399989542</c:v>
                </c:pt>
                <c:pt idx="4">
                  <c:v>141.97544898998248</c:v>
                </c:pt>
                <c:pt idx="5">
                  <c:v>154.30988400001323</c:v>
                </c:pt>
                <c:pt idx="6">
                  <c:v>155.03718199994941</c:v>
                </c:pt>
                <c:pt idx="7">
                  <c:v>154.10752600110018</c:v>
                </c:pt>
                <c:pt idx="8">
                  <c:v>155.24963400005288</c:v>
                </c:pt>
                <c:pt idx="9">
                  <c:v>149.78429100088593</c:v>
                </c:pt>
                <c:pt idx="10">
                  <c:v>151.17831498979581</c:v>
                </c:pt>
                <c:pt idx="11">
                  <c:v>149.31018899989465</c:v>
                </c:pt>
                <c:pt idx="12">
                  <c:v>153.99135899985959</c:v>
                </c:pt>
                <c:pt idx="13">
                  <c:v>156.50781399990518</c:v>
                </c:pt>
                <c:pt idx="14">
                  <c:v>168.98175699998492</c:v>
                </c:pt>
                <c:pt idx="15">
                  <c:v>37.329080000102245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5E-40BA-B07C-170CBC6AD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185336"/>
        <c:axId val="745186776"/>
      </c:scatterChart>
      <c:valAx>
        <c:axId val="745185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186776"/>
        <c:crosses val="autoZero"/>
        <c:crossBetween val="midCat"/>
      </c:valAx>
      <c:valAx>
        <c:axId val="745186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185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4444589956400982"/>
                  <c:y val="-0.173050741347753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Summary!$B$85:$Q$85</c:f>
              <c:numCache>
                <c:formatCode>0.00</c:formatCode>
                <c:ptCount val="16"/>
                <c:pt idx="0">
                  <c:v>55.2</c:v>
                </c:pt>
                <c:pt idx="1">
                  <c:v>56.9</c:v>
                </c:pt>
                <c:pt idx="2">
                  <c:v>49.62</c:v>
                </c:pt>
                <c:pt idx="3">
                  <c:v>52.99</c:v>
                </c:pt>
                <c:pt idx="4">
                  <c:v>50</c:v>
                </c:pt>
                <c:pt idx="5">
                  <c:v>44.23</c:v>
                </c:pt>
                <c:pt idx="6">
                  <c:v>50</c:v>
                </c:pt>
                <c:pt idx="7">
                  <c:v>44.99</c:v>
                </c:pt>
                <c:pt idx="8">
                  <c:v>42.26</c:v>
                </c:pt>
                <c:pt idx="9">
                  <c:v>44.55</c:v>
                </c:pt>
                <c:pt idx="10">
                  <c:v>43.24</c:v>
                </c:pt>
                <c:pt idx="11">
                  <c:v>48.12</c:v>
                </c:pt>
                <c:pt idx="12">
                  <c:v>48.12</c:v>
                </c:pt>
                <c:pt idx="13">
                  <c:v>45.12</c:v>
                </c:pt>
                <c:pt idx="14">
                  <c:v>52.27</c:v>
                </c:pt>
                <c:pt idx="15">
                  <c:v>50.58</c:v>
                </c:pt>
              </c:numCache>
            </c:numRef>
          </c:xVal>
          <c:yVal>
            <c:numRef>
              <c:f>Summary!$B$89:$Q$89</c:f>
              <c:numCache>
                <c:formatCode>0.00</c:formatCode>
                <c:ptCount val="16"/>
                <c:pt idx="0">
                  <c:v>1201.9522729384475</c:v>
                </c:pt>
                <c:pt idx="1">
                  <c:v>1202.7715689273869</c:v>
                </c:pt>
                <c:pt idx="2">
                  <c:v>1190.6995159275707</c:v>
                </c:pt>
                <c:pt idx="3">
                  <c:v>1190.2839959373953</c:v>
                </c:pt>
                <c:pt idx="4">
                  <c:v>1190.3457719274825</c:v>
                </c:pt>
                <c:pt idx="5">
                  <c:v>1191.6098199375131</c:v>
                </c:pt>
                <c:pt idx="6">
                  <c:v>1191.4457459374494</c:v>
                </c:pt>
                <c:pt idx="7">
                  <c:v>1190.5840759386003</c:v>
                </c:pt>
                <c:pt idx="8">
                  <c:v>1190.3022549375528</c:v>
                </c:pt>
                <c:pt idx="9">
                  <c:v>1187.0993349383859</c:v>
                </c:pt>
                <c:pt idx="10">
                  <c:v>1188.5462369272959</c:v>
                </c:pt>
                <c:pt idx="11">
                  <c:v>1187.2333299373945</c:v>
                </c:pt>
                <c:pt idx="12">
                  <c:v>1188.2508099373595</c:v>
                </c:pt>
                <c:pt idx="13">
                  <c:v>1194.1741189374052</c:v>
                </c:pt>
                <c:pt idx="14">
                  <c:v>1205.590501937485</c:v>
                </c:pt>
                <c:pt idx="15">
                  <c:v>-15540.6432660624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23-438F-9A4B-A330AB833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185336"/>
        <c:axId val="745186776"/>
      </c:scatterChart>
      <c:valAx>
        <c:axId val="745185336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186776"/>
        <c:crosses val="autoZero"/>
        <c:crossBetween val="midCat"/>
      </c:valAx>
      <c:valAx>
        <c:axId val="745186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185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UB1000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Summary!$B$84:$Q$84</c:f>
              <c:numCache>
                <c:formatCode>m/d/yyyy</c:formatCode>
                <c:ptCount val="16"/>
                <c:pt idx="0">
                  <c:v>44658</c:v>
                </c:pt>
                <c:pt idx="1">
                  <c:v>44662</c:v>
                </c:pt>
                <c:pt idx="2">
                  <c:v>44711</c:v>
                </c:pt>
                <c:pt idx="3">
                  <c:v>44712</c:v>
                </c:pt>
                <c:pt idx="4">
                  <c:v>44714</c:v>
                </c:pt>
                <c:pt idx="5">
                  <c:v>44732</c:v>
                </c:pt>
                <c:pt idx="6">
                  <c:v>44733</c:v>
                </c:pt>
                <c:pt idx="7">
                  <c:v>44746</c:v>
                </c:pt>
                <c:pt idx="8">
                  <c:v>44753</c:v>
                </c:pt>
                <c:pt idx="9">
                  <c:v>44767</c:v>
                </c:pt>
                <c:pt idx="10">
                  <c:v>44774</c:v>
                </c:pt>
                <c:pt idx="11">
                  <c:v>44827</c:v>
                </c:pt>
                <c:pt idx="12">
                  <c:v>44859</c:v>
                </c:pt>
                <c:pt idx="13">
                  <c:v>44876</c:v>
                </c:pt>
                <c:pt idx="14">
                  <c:v>44942</c:v>
                </c:pt>
                <c:pt idx="15">
                  <c:v>0</c:v>
                </c:pt>
              </c:numCache>
            </c:numRef>
          </c:xVal>
          <c:yVal>
            <c:numRef>
              <c:f>Summary!$B$90:$Q$90</c:f>
              <c:numCache>
                <c:formatCode>0.00</c:formatCode>
                <c:ptCount val="16"/>
                <c:pt idx="0">
                  <c:v>1196.9269929384475</c:v>
                </c:pt>
                <c:pt idx="1">
                  <c:v>1196.1034089273869</c:v>
                </c:pt>
                <c:pt idx="2">
                  <c:v>1191.0667479275708</c:v>
                </c:pt>
                <c:pt idx="3">
                  <c:v>1187.3944599373954</c:v>
                </c:pt>
                <c:pt idx="4">
                  <c:v>1190.3457719274825</c:v>
                </c:pt>
                <c:pt idx="5">
                  <c:v>1197.185947937513</c:v>
                </c:pt>
                <c:pt idx="6">
                  <c:v>1191.4457459374494</c:v>
                </c:pt>
                <c:pt idx="7">
                  <c:v>1195.4257399386004</c:v>
                </c:pt>
                <c:pt idx="8">
                  <c:v>1197.7821909375527</c:v>
                </c:pt>
                <c:pt idx="9">
                  <c:v>1192.3662149383858</c:v>
                </c:pt>
                <c:pt idx="10">
                  <c:v>1195.0791009272959</c:v>
                </c:pt>
                <c:pt idx="11">
                  <c:v>1189.0501619373945</c:v>
                </c:pt>
                <c:pt idx="12">
                  <c:v>1190.0676419373594</c:v>
                </c:pt>
                <c:pt idx="13">
                  <c:v>1198.8901509374052</c:v>
                </c:pt>
                <c:pt idx="14">
                  <c:v>1203.396773937485</c:v>
                </c:pt>
                <c:pt idx="15">
                  <c:v>-15541.2037780624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C2-4DB5-A3A8-7A4E96E77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521536"/>
        <c:axId val="616522256"/>
      </c:scatterChart>
      <c:valAx>
        <c:axId val="61652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22256"/>
        <c:crosses val="autoZero"/>
        <c:crossBetween val="midCat"/>
      </c:valAx>
      <c:valAx>
        <c:axId val="616522256"/>
        <c:scaling>
          <c:orientation val="minMax"/>
          <c:max val="170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2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72003</xdr:colOff>
      <xdr:row>3</xdr:row>
      <xdr:rowOff>72889</xdr:rowOff>
    </xdr:from>
    <xdr:to>
      <xdr:col>42</xdr:col>
      <xdr:colOff>389284</xdr:colOff>
      <xdr:row>29</xdr:row>
      <xdr:rowOff>82413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AE5573-20E4-4963-8062-4227965E4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639538</xdr:colOff>
      <xdr:row>48</xdr:row>
      <xdr:rowOff>149679</xdr:rowOff>
    </xdr:from>
    <xdr:to>
      <xdr:col>28</xdr:col>
      <xdr:colOff>190501</xdr:colOff>
      <xdr:row>79</xdr:row>
      <xdr:rowOff>54429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D4F516-7911-445C-B5B2-6D06B2DCB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608294</xdr:colOff>
      <xdr:row>27</xdr:row>
      <xdr:rowOff>155122</xdr:rowOff>
    </xdr:from>
    <xdr:to>
      <xdr:col>41</xdr:col>
      <xdr:colOff>204106</xdr:colOff>
      <xdr:row>53</xdr:row>
      <xdr:rowOff>122466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F6DC9B-EBE3-43D6-B0D7-730AEBAB8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330200</xdr:colOff>
      <xdr:row>20</xdr:row>
      <xdr:rowOff>11112</xdr:rowOff>
    </xdr:from>
    <xdr:to>
      <xdr:col>24</xdr:col>
      <xdr:colOff>53975</xdr:colOff>
      <xdr:row>35</xdr:row>
      <xdr:rowOff>30162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E96FB3-96F7-2B90-5700-53CDD8349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37</xdr:row>
      <xdr:rowOff>0</xdr:rowOff>
    </xdr:from>
    <xdr:to>
      <xdr:col>24</xdr:col>
      <xdr:colOff>333375</xdr:colOff>
      <xdr:row>52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A9BF39-0ABE-4FDA-889B-8B5C46D9E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518583</xdr:colOff>
      <xdr:row>19</xdr:row>
      <xdr:rowOff>169333</xdr:rowOff>
    </xdr:from>
    <xdr:to>
      <xdr:col>32</xdr:col>
      <xdr:colOff>185208</xdr:colOff>
      <xdr:row>35</xdr:row>
      <xdr:rowOff>8467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E8DA25-8563-4DD5-88F6-9BAC1F7DC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592666</xdr:colOff>
      <xdr:row>37</xdr:row>
      <xdr:rowOff>14816</xdr:rowOff>
    </xdr:from>
    <xdr:to>
      <xdr:col>32</xdr:col>
      <xdr:colOff>259291</xdr:colOff>
      <xdr:row>52</xdr:row>
      <xdr:rowOff>33866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3A0D03D-E78F-4760-9F11-A4C63B710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1149350</xdr:colOff>
      <xdr:row>48</xdr:row>
      <xdr:rowOff>49212</xdr:rowOff>
    </xdr:from>
    <xdr:to>
      <xdr:col>6</xdr:col>
      <xdr:colOff>857250</xdr:colOff>
      <xdr:row>63</xdr:row>
      <xdr:rowOff>65087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E31F52B-4F22-12C1-192E-94D6EC57F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48</xdr:row>
      <xdr:rowOff>0</xdr:rowOff>
    </xdr:from>
    <xdr:to>
      <xdr:col>15</xdr:col>
      <xdr:colOff>266700</xdr:colOff>
      <xdr:row>63</xdr:row>
      <xdr:rowOff>22225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68D9611-9980-41AC-92C1-E5529470F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67</xdr:row>
      <xdr:rowOff>0</xdr:rowOff>
    </xdr:from>
    <xdr:to>
      <xdr:col>7</xdr:col>
      <xdr:colOff>53975</xdr:colOff>
      <xdr:row>82</xdr:row>
      <xdr:rowOff>22225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318BA46-9220-47A6-8594-1B396A8CA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67</xdr:row>
      <xdr:rowOff>0</xdr:rowOff>
    </xdr:from>
    <xdr:to>
      <xdr:col>15</xdr:col>
      <xdr:colOff>413808</xdr:colOff>
      <xdr:row>82</xdr:row>
      <xdr:rowOff>25400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26A85CE-D352-4B11-9ED3-874E7F8F5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0</xdr:colOff>
      <xdr:row>58</xdr:row>
      <xdr:rowOff>0</xdr:rowOff>
    </xdr:from>
    <xdr:to>
      <xdr:col>23</xdr:col>
      <xdr:colOff>330200</xdr:colOff>
      <xdr:row>73</xdr:row>
      <xdr:rowOff>25400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B47C31D-E4D4-4F60-93B3-B9CF6DAC3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543984</xdr:colOff>
      <xdr:row>77</xdr:row>
      <xdr:rowOff>57150</xdr:rowOff>
    </xdr:from>
    <xdr:to>
      <xdr:col>26</xdr:col>
      <xdr:colOff>479425</xdr:colOff>
      <xdr:row>94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2A52DC-5414-90A9-EFD7-7B4A70D95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0</xdr:colOff>
      <xdr:row>96</xdr:row>
      <xdr:rowOff>0</xdr:rowOff>
    </xdr:from>
    <xdr:to>
      <xdr:col>25</xdr:col>
      <xdr:colOff>555625</xdr:colOff>
      <xdr:row>112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006945-CF44-4611-B950-62B919110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735541</xdr:colOff>
      <xdr:row>92</xdr:row>
      <xdr:rowOff>57150</xdr:rowOff>
    </xdr:from>
    <xdr:to>
      <xdr:col>12</xdr:col>
      <xdr:colOff>315383</xdr:colOff>
      <xdr:row>107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F196339-A9B6-D306-2813-D2B5D2797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workbookViewId="0">
      <selection activeCell="I19" sqref="I19"/>
    </sheetView>
  </sheetViews>
  <sheetFormatPr defaultRowHeight="15" x14ac:dyDescent="0.25"/>
  <cols>
    <col min="1" max="1" width="16.85546875" customWidth="1"/>
    <col min="3" max="3" width="16.42578125" customWidth="1"/>
    <col min="4" max="5" width="11.140625" customWidth="1"/>
    <col min="9" max="9" width="52.85546875" customWidth="1"/>
    <col min="10" max="10" width="19" customWidth="1"/>
    <col min="14" max="14" width="11.42578125" bestFit="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 s="5">
        <f>N1 - N6</f>
        <v>-2.4317999990266701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2">
        <v>44658.420907951389</v>
      </c>
      <c r="B3" t="s">
        <v>17</v>
      </c>
      <c r="C3" s="1">
        <v>-4.0000000000000001E-8</v>
      </c>
      <c r="D3" s="1">
        <v>4.2895221179054403E-8</v>
      </c>
      <c r="E3" s="1">
        <v>2.7180000000000001E-5</v>
      </c>
      <c r="F3" s="1">
        <v>7.9598994968529597E-7</v>
      </c>
      <c r="G3">
        <v>1591.5</v>
      </c>
      <c r="H3">
        <v>15</v>
      </c>
      <c r="I3" t="s">
        <v>18</v>
      </c>
      <c r="J3" s="1">
        <f>C3-C$3</f>
        <v>0</v>
      </c>
      <c r="K3" s="1">
        <f>D3-D$3</f>
        <v>0</v>
      </c>
      <c r="L3" s="4" t="s">
        <v>19</v>
      </c>
      <c r="N3" t="s">
        <v>20</v>
      </c>
    </row>
    <row r="4" spans="1:16" x14ac:dyDescent="0.25">
      <c r="A4" s="2">
        <v>44658.424058078701</v>
      </c>
      <c r="B4" t="s">
        <v>21</v>
      </c>
      <c r="C4">
        <v>9.9999754440000004</v>
      </c>
      <c r="D4" s="1">
        <v>7.4859868890167102E-8</v>
      </c>
      <c r="E4">
        <v>-1.6312E-4</v>
      </c>
      <c r="F4" s="1">
        <v>1.42253295216665E-6</v>
      </c>
      <c r="G4">
        <v>1591.5</v>
      </c>
      <c r="H4">
        <v>15</v>
      </c>
      <c r="I4" t="s">
        <v>22</v>
      </c>
      <c r="J4">
        <f t="shared" ref="J4:J30" si="0">C4-C$3</f>
        <v>9.9999754840000001</v>
      </c>
      <c r="K4" s="1">
        <f>E4-E$3</f>
        <v>-1.9029999999999999E-4</v>
      </c>
      <c r="L4" s="3">
        <f>K4*0.000000001/(2*PI()*J4*G4*0.000000000001)</f>
        <v>-1.9030637714504625E-6</v>
      </c>
      <c r="M4">
        <v>10</v>
      </c>
      <c r="N4" s="5">
        <f>(J4/M4-1)*1000000</f>
        <v>-2.4516000000085469</v>
      </c>
      <c r="O4" s="5">
        <f>N4+P$1</f>
        <v>-4.883399999035217</v>
      </c>
    </row>
    <row r="5" spans="1:16" x14ac:dyDescent="0.25">
      <c r="A5" s="2">
        <v>44658.426144976853</v>
      </c>
      <c r="B5" t="s">
        <v>23</v>
      </c>
      <c r="C5">
        <v>9.9999778510000006</v>
      </c>
      <c r="D5" s="1">
        <v>6.9921384573592194E-8</v>
      </c>
      <c r="E5">
        <v>-1.08689999999999E-4</v>
      </c>
      <c r="F5" s="1">
        <v>1.3133544837552399E-6</v>
      </c>
      <c r="G5">
        <v>1591.5</v>
      </c>
      <c r="H5">
        <v>15</v>
      </c>
      <c r="J5">
        <f t="shared" si="0"/>
        <v>9.9999778910000003</v>
      </c>
      <c r="K5" s="1">
        <f t="shared" ref="K5:K30" si="1">E5-E$3</f>
        <v>-1.3586999999999901E-4</v>
      </c>
      <c r="L5" s="3">
        <f t="shared" ref="L5:L30" si="2">K5*0.000000001/(2*PI()*J5*G5*0.000000000001)</f>
        <v>-1.3587452043573853E-6</v>
      </c>
      <c r="M5">
        <v>10</v>
      </c>
      <c r="N5" s="5">
        <f t="shared" ref="N5:N30" si="3">(J5/M5-1)*1000000</f>
        <v>-2.2108999999659318</v>
      </c>
      <c r="O5" s="5">
        <f t="shared" ref="O5:O30" si="4">N5+P$1</f>
        <v>-4.6426999989926019</v>
      </c>
    </row>
    <row r="6" spans="1:16" x14ac:dyDescent="0.25">
      <c r="A6" s="2">
        <v>44658.427391921294</v>
      </c>
      <c r="B6" t="s">
        <v>24</v>
      </c>
      <c r="C6">
        <v>99.999823139999904</v>
      </c>
      <c r="D6" s="1">
        <v>1.01980386447048E-7</v>
      </c>
      <c r="E6">
        <v>1.7118999999999999E-3</v>
      </c>
      <c r="F6" s="1">
        <v>9.43398113205624E-7</v>
      </c>
      <c r="G6">
        <v>1591.5</v>
      </c>
      <c r="H6">
        <v>15</v>
      </c>
      <c r="J6">
        <f t="shared" si="0"/>
        <v>99.999823179999908</v>
      </c>
      <c r="K6" s="1">
        <f t="shared" si="1"/>
        <v>1.68472E-3</v>
      </c>
      <c r="L6" s="3">
        <f t="shared" si="2"/>
        <v>1.6847753052891148E-6</v>
      </c>
      <c r="M6">
        <v>100</v>
      </c>
      <c r="N6" s="5">
        <f t="shared" si="3"/>
        <v>-1.7682000009733301</v>
      </c>
      <c r="O6" s="5">
        <f t="shared" si="4"/>
        <v>-4.2</v>
      </c>
    </row>
    <row r="7" spans="1:16" x14ac:dyDescent="0.25">
      <c r="A7" s="2">
        <v>44658.428388912034</v>
      </c>
      <c r="B7" t="s">
        <v>25</v>
      </c>
      <c r="C7">
        <v>99.999816980000006</v>
      </c>
      <c r="D7" s="1">
        <v>9.7979589115859297E-8</v>
      </c>
      <c r="E7">
        <v>2.0918999999999998E-3</v>
      </c>
      <c r="F7" s="1">
        <v>9.4339811320563395E-7</v>
      </c>
      <c r="G7">
        <v>1591.5</v>
      </c>
      <c r="H7">
        <v>15</v>
      </c>
      <c r="J7">
        <f t="shared" si="0"/>
        <v>99.999817020000009</v>
      </c>
      <c r="K7" s="1">
        <f t="shared" si="1"/>
        <v>2.0647199999999999E-3</v>
      </c>
      <c r="L7" s="3">
        <f t="shared" si="2"/>
        <v>2.064787906962598E-6</v>
      </c>
      <c r="M7">
        <v>100</v>
      </c>
      <c r="N7" s="5">
        <f t="shared" si="3"/>
        <v>-1.8297999999639103</v>
      </c>
      <c r="O7" s="5">
        <f t="shared" si="4"/>
        <v>-4.2615999989905804</v>
      </c>
    </row>
    <row r="8" spans="1:16" x14ac:dyDescent="0.25">
      <c r="A8" s="2">
        <v>44658.429405590279</v>
      </c>
      <c r="B8" t="s">
        <v>26</v>
      </c>
      <c r="C8">
        <v>9.9999757700000007</v>
      </c>
      <c r="D8" s="1">
        <v>1.00697567165588E-7</v>
      </c>
      <c r="E8">
        <v>-2.5436000000000002E-4</v>
      </c>
      <c r="F8" s="1">
        <v>1.26348723776696E-6</v>
      </c>
      <c r="G8">
        <v>1591.5</v>
      </c>
      <c r="H8">
        <v>15</v>
      </c>
      <c r="I8" t="s">
        <v>27</v>
      </c>
      <c r="J8">
        <f t="shared" si="0"/>
        <v>9.9999758100000005</v>
      </c>
      <c r="K8" s="1">
        <f t="shared" si="1"/>
        <v>-2.8154000000000005E-4</v>
      </c>
      <c r="L8" s="3">
        <f t="shared" si="2"/>
        <v>-2.8154942551098979E-6</v>
      </c>
      <c r="M8">
        <v>10</v>
      </c>
      <c r="N8" s="5">
        <f t="shared" si="3"/>
        <v>-2.4189999999757461</v>
      </c>
      <c r="O8" s="5">
        <f t="shared" si="4"/>
        <v>-4.8507999990024162</v>
      </c>
    </row>
    <row r="9" spans="1:16" x14ac:dyDescent="0.25">
      <c r="A9" s="2">
        <v>44658.431454861115</v>
      </c>
      <c r="B9" t="s">
        <v>28</v>
      </c>
      <c r="C9">
        <v>9.9999730769999999</v>
      </c>
      <c r="D9" s="1">
        <v>9.9704563681744296E-8</v>
      </c>
      <c r="E9">
        <v>-2.1447999999999899E-4</v>
      </c>
      <c r="F9" s="1">
        <v>6.7941151005851996E-7</v>
      </c>
      <c r="G9">
        <v>1591.5</v>
      </c>
      <c r="H9">
        <v>15</v>
      </c>
      <c r="J9">
        <f t="shared" si="0"/>
        <v>9.9999731169999997</v>
      </c>
      <c r="K9" s="1">
        <f t="shared" si="1"/>
        <v>-2.4165999999999898E-4</v>
      </c>
      <c r="L9" s="3">
        <f t="shared" si="2"/>
        <v>-2.4166815547346921E-6</v>
      </c>
      <c r="M9">
        <v>10</v>
      </c>
      <c r="N9" s="5">
        <f t="shared" si="3"/>
        <v>-2.6883000000532675</v>
      </c>
      <c r="O9" s="5">
        <f t="shared" si="4"/>
        <v>-5.1200999990799376</v>
      </c>
    </row>
    <row r="10" spans="1:16" x14ac:dyDescent="0.25">
      <c r="A10" s="2">
        <v>44658.432556423613</v>
      </c>
      <c r="B10" t="s">
        <v>29</v>
      </c>
      <c r="C10">
        <v>99.999781619999993</v>
      </c>
      <c r="D10" s="1">
        <v>9.7979588825781495E-8</v>
      </c>
      <c r="E10">
        <v>8.1969999999999905E-4</v>
      </c>
      <c r="F10" s="1">
        <v>1.3453624047073799E-6</v>
      </c>
      <c r="G10">
        <v>1591.5</v>
      </c>
      <c r="H10">
        <v>15</v>
      </c>
      <c r="J10">
        <f t="shared" si="0"/>
        <v>99.999781659999996</v>
      </c>
      <c r="K10" s="1">
        <f t="shared" si="1"/>
        <v>7.9251999999999903E-4</v>
      </c>
      <c r="L10" s="3">
        <f t="shared" si="2"/>
        <v>7.9254634558354049E-7</v>
      </c>
      <c r="M10">
        <v>100</v>
      </c>
      <c r="N10" s="5">
        <f t="shared" si="3"/>
        <v>-2.1834000000220399</v>
      </c>
      <c r="O10" s="5">
        <f t="shared" si="4"/>
        <v>-4.61519999904871</v>
      </c>
    </row>
    <row r="11" spans="1:16" x14ac:dyDescent="0.25">
      <c r="A11" s="2">
        <v>44658.433635868052</v>
      </c>
      <c r="B11" t="s">
        <v>30</v>
      </c>
      <c r="C11">
        <v>99.999865819999997</v>
      </c>
      <c r="D11" s="1">
        <v>1.2489995892444699E-7</v>
      </c>
      <c r="E11">
        <v>9.1089999999999997E-4</v>
      </c>
      <c r="F11" s="1">
        <v>1.04403065089105E-6</v>
      </c>
      <c r="G11">
        <v>1591.5</v>
      </c>
      <c r="H11">
        <v>15</v>
      </c>
      <c r="J11">
        <f t="shared" si="0"/>
        <v>99.99986586</v>
      </c>
      <c r="K11" s="1">
        <f t="shared" si="1"/>
        <v>8.8371999999999995E-4</v>
      </c>
      <c r="L11" s="3">
        <f t="shared" si="2"/>
        <v>8.8374863320889116E-7</v>
      </c>
      <c r="M11">
        <v>100</v>
      </c>
      <c r="N11" s="5">
        <f t="shared" si="3"/>
        <v>-1.3413999999656312</v>
      </c>
      <c r="O11" s="5">
        <f t="shared" si="4"/>
        <v>-3.7731999989923013</v>
      </c>
    </row>
    <row r="12" spans="1:16" x14ac:dyDescent="0.25">
      <c r="A12" s="2">
        <v>44658.435484097223</v>
      </c>
      <c r="B12" t="s">
        <v>31</v>
      </c>
      <c r="C12">
        <v>10.0002743199999</v>
      </c>
      <c r="D12" s="1">
        <v>2.0880613021930701E-7</v>
      </c>
      <c r="E12">
        <v>9.7426000000000001E-4</v>
      </c>
      <c r="F12" s="1">
        <v>3.5556152772761998E-6</v>
      </c>
      <c r="G12">
        <v>1591.5</v>
      </c>
      <c r="H12">
        <v>15</v>
      </c>
      <c r="I12" t="s">
        <v>32</v>
      </c>
      <c r="J12">
        <f t="shared" si="0"/>
        <v>10.000274359999899</v>
      </c>
      <c r="K12" s="1">
        <f t="shared" si="1"/>
        <v>9.4707999999999999E-4</v>
      </c>
      <c r="L12" s="3">
        <f t="shared" si="2"/>
        <v>9.4708343148641817E-6</v>
      </c>
      <c r="M12">
        <v>10</v>
      </c>
      <c r="N12" s="5">
        <f t="shared" si="3"/>
        <v>27.435999989888771</v>
      </c>
      <c r="O12" s="5">
        <f t="shared" si="4"/>
        <v>25.004199990862102</v>
      </c>
    </row>
    <row r="13" spans="1:16" x14ac:dyDescent="0.25">
      <c r="A13" s="2">
        <v>44658.43798667824</v>
      </c>
      <c r="B13" t="s">
        <v>33</v>
      </c>
      <c r="C13">
        <v>100.00439900000001</v>
      </c>
      <c r="D13">
        <v>0</v>
      </c>
      <c r="E13">
        <v>8.9351999999999904E-3</v>
      </c>
      <c r="F13" s="1">
        <v>3.9291856662672298E-5</v>
      </c>
      <c r="G13">
        <v>1591.5</v>
      </c>
      <c r="H13">
        <v>15</v>
      </c>
      <c r="J13">
        <f t="shared" si="0"/>
        <v>100.00439904000001</v>
      </c>
      <c r="K13" s="1">
        <f t="shared" si="1"/>
        <v>8.9080199999999905E-3</v>
      </c>
      <c r="L13" s="3">
        <f t="shared" si="2"/>
        <v>8.9079048148103121E-6</v>
      </c>
      <c r="M13">
        <v>100</v>
      </c>
      <c r="N13" s="5">
        <f t="shared" si="3"/>
        <v>43.990400000026852</v>
      </c>
      <c r="O13" s="5">
        <f t="shared" si="4"/>
        <v>41.55860000100018</v>
      </c>
    </row>
    <row r="14" spans="1:16" x14ac:dyDescent="0.25">
      <c r="A14" s="2">
        <v>44658.439892997689</v>
      </c>
      <c r="B14" t="s">
        <v>34</v>
      </c>
      <c r="C14">
        <v>1000.03437299999</v>
      </c>
      <c r="D14" s="1">
        <v>4.5825757354838004E-6</v>
      </c>
      <c r="E14">
        <v>0.200902</v>
      </c>
      <c r="F14">
        <v>1.7514565367145201E-4</v>
      </c>
      <c r="G14">
        <v>1591.5</v>
      </c>
      <c r="H14">
        <v>1.5</v>
      </c>
      <c r="J14">
        <f t="shared" si="0"/>
        <v>1000.03437303999</v>
      </c>
      <c r="K14" s="1">
        <f t="shared" si="1"/>
        <v>0.20087482000000001</v>
      </c>
      <c r="L14" s="3">
        <f t="shared" si="2"/>
        <v>2.008741543813831E-5</v>
      </c>
      <c r="M14">
        <v>1000</v>
      </c>
      <c r="N14" s="5">
        <f t="shared" si="3"/>
        <v>34.37303998987673</v>
      </c>
      <c r="O14" s="5">
        <f t="shared" si="4"/>
        <v>31.941239990850061</v>
      </c>
    </row>
    <row r="15" spans="1:16" x14ac:dyDescent="0.25">
      <c r="A15" s="2">
        <v>44658.452939675924</v>
      </c>
      <c r="B15" t="s">
        <v>35</v>
      </c>
      <c r="C15">
        <v>1000.0185729999999</v>
      </c>
      <c r="D15" s="1">
        <v>4.5825757354838004E-6</v>
      </c>
      <c r="E15">
        <v>0.205152</v>
      </c>
      <c r="F15">
        <v>3.2865787682634102E-4</v>
      </c>
      <c r="G15">
        <v>1591.5</v>
      </c>
      <c r="H15">
        <v>1.5</v>
      </c>
      <c r="J15">
        <f t="shared" si="0"/>
        <v>1000.01857304</v>
      </c>
      <c r="K15" s="1">
        <f t="shared" si="1"/>
        <v>0.20512482000000001</v>
      </c>
      <c r="L15" s="3">
        <f t="shared" si="2"/>
        <v>2.0512738119980833E-5</v>
      </c>
      <c r="M15">
        <v>1000</v>
      </c>
      <c r="N15" s="5">
        <f t="shared" si="3"/>
        <v>18.573039999969509</v>
      </c>
      <c r="O15" s="5">
        <f t="shared" si="4"/>
        <v>16.14124000094284</v>
      </c>
    </row>
    <row r="16" spans="1:16" x14ac:dyDescent="0.25">
      <c r="A16" s="2">
        <v>44658.455265902776</v>
      </c>
      <c r="B16" t="s">
        <v>36</v>
      </c>
      <c r="C16">
        <v>4.9999472029999996</v>
      </c>
      <c r="D16" s="1">
        <v>5.98414570500673E-8</v>
      </c>
      <c r="E16">
        <v>2.5458000000000002E-4</v>
      </c>
      <c r="F16" s="1">
        <v>1.66060230037175E-6</v>
      </c>
      <c r="G16">
        <v>1591.5</v>
      </c>
      <c r="H16">
        <v>15</v>
      </c>
      <c r="I16" t="s">
        <v>37</v>
      </c>
      <c r="J16">
        <f t="shared" si="0"/>
        <v>4.9999472429999994</v>
      </c>
      <c r="K16" s="1">
        <f t="shared" si="1"/>
        <v>2.2740000000000003E-4</v>
      </c>
      <c r="L16" s="3">
        <f t="shared" si="2"/>
        <v>4.5481892475833181E-6</v>
      </c>
      <c r="M16">
        <v>5</v>
      </c>
      <c r="N16" s="5">
        <f t="shared" si="3"/>
        <v>-10.551400000169409</v>
      </c>
      <c r="O16" s="5">
        <f t="shared" si="4"/>
        <v>-12.983199999196078</v>
      </c>
    </row>
    <row r="17" spans="1:15" x14ac:dyDescent="0.25">
      <c r="A17" s="2">
        <v>44658.458185081021</v>
      </c>
      <c r="B17" t="s">
        <v>38</v>
      </c>
      <c r="C17">
        <v>5.000096106</v>
      </c>
      <c r="D17" s="1">
        <v>7.4458041747885802E-8</v>
      </c>
      <c r="E17">
        <v>2.0050999999999999E-4</v>
      </c>
      <c r="F17" s="1">
        <v>8.19084855189004E-7</v>
      </c>
      <c r="G17">
        <v>1591.5</v>
      </c>
      <c r="H17">
        <v>15</v>
      </c>
      <c r="I17" t="s">
        <v>39</v>
      </c>
      <c r="J17">
        <f t="shared" si="0"/>
        <v>5.0000961459999997</v>
      </c>
      <c r="K17" s="1">
        <f t="shared" si="1"/>
        <v>1.7333E-4</v>
      </c>
      <c r="L17" s="3">
        <f t="shared" si="2"/>
        <v>3.4666410095297501E-6</v>
      </c>
      <c r="M17">
        <v>5</v>
      </c>
      <c r="N17" s="5">
        <f t="shared" si="3"/>
        <v>19.229199999859503</v>
      </c>
      <c r="O17" s="5">
        <f t="shared" si="4"/>
        <v>16.797400000832834</v>
      </c>
    </row>
    <row r="18" spans="1:15" x14ac:dyDescent="0.25">
      <c r="A18" s="2">
        <v>44658.460162337964</v>
      </c>
      <c r="B18" t="s">
        <v>40</v>
      </c>
      <c r="C18">
        <v>0.50005063699999996</v>
      </c>
      <c r="D18" s="1">
        <v>9.5084173221527702E-8</v>
      </c>
      <c r="E18" s="1">
        <v>7.6549999999999896E-5</v>
      </c>
      <c r="F18" s="1">
        <v>5.8523499553598098E-7</v>
      </c>
      <c r="G18">
        <v>1591.5</v>
      </c>
      <c r="H18">
        <v>15</v>
      </c>
      <c r="I18" t="s">
        <v>41</v>
      </c>
      <c r="J18">
        <f t="shared" si="0"/>
        <v>0.50005067699999994</v>
      </c>
      <c r="K18" s="1">
        <f t="shared" si="1"/>
        <v>4.9369999999999895E-5</v>
      </c>
      <c r="L18" s="3">
        <f t="shared" si="2"/>
        <v>9.873305980740611E-6</v>
      </c>
      <c r="M18">
        <v>0.5</v>
      </c>
      <c r="N18" s="5">
        <f t="shared" si="3"/>
        <v>101.35399999988692</v>
      </c>
      <c r="O18" s="5">
        <f t="shared" si="4"/>
        <v>98.922200000860258</v>
      </c>
    </row>
    <row r="19" spans="1:15" x14ac:dyDescent="0.25">
      <c r="A19" s="2">
        <v>44658.465149826392</v>
      </c>
      <c r="B19" t="s">
        <v>42</v>
      </c>
      <c r="C19">
        <v>1000.166476</v>
      </c>
      <c r="D19" s="1">
        <v>4.89897947319762E-6</v>
      </c>
      <c r="E19">
        <v>0.21310899999999999</v>
      </c>
      <c r="F19">
        <v>8.7788894514055497E-4</v>
      </c>
      <c r="G19">
        <v>1591.5</v>
      </c>
      <c r="H19">
        <v>1.5</v>
      </c>
      <c r="I19" t="s">
        <v>43</v>
      </c>
      <c r="J19">
        <f t="shared" si="0"/>
        <v>1000.16647604</v>
      </c>
      <c r="K19" s="1">
        <f t="shared" si="1"/>
        <v>0.21308182000000001</v>
      </c>
      <c r="L19" s="3">
        <f t="shared" si="2"/>
        <v>2.1305296996317984E-5</v>
      </c>
      <c r="M19">
        <v>1000</v>
      </c>
      <c r="N19" s="5">
        <f t="shared" si="3"/>
        <v>166.47603999997429</v>
      </c>
      <c r="O19" s="5">
        <f t="shared" si="4"/>
        <v>164.04424000094761</v>
      </c>
    </row>
    <row r="20" spans="1:15" x14ac:dyDescent="0.25">
      <c r="A20" s="2">
        <v>44658.539461631946</v>
      </c>
      <c r="B20" t="s">
        <v>44</v>
      </c>
      <c r="C20">
        <v>10.000388900000001</v>
      </c>
      <c r="D20" s="1">
        <v>1.09544511646071E-7</v>
      </c>
      <c r="E20">
        <v>4.8367000000000001E-4</v>
      </c>
      <c r="F20" s="1">
        <v>1.63098129970886E-6</v>
      </c>
      <c r="G20">
        <v>1591.5</v>
      </c>
      <c r="H20">
        <v>15</v>
      </c>
      <c r="I20" t="s">
        <v>45</v>
      </c>
      <c r="J20">
        <f t="shared" si="0"/>
        <v>10.000388940000001</v>
      </c>
      <c r="K20" s="1">
        <f t="shared" si="1"/>
        <v>4.5648999999999999E-4</v>
      </c>
      <c r="L20" s="3">
        <f t="shared" si="2"/>
        <v>4.5648642368922861E-6</v>
      </c>
      <c r="M20">
        <v>10</v>
      </c>
      <c r="N20" s="5">
        <f t="shared" si="3"/>
        <v>38.89400000001153</v>
      </c>
      <c r="O20" s="5">
        <f t="shared" si="4"/>
        <v>36.462200000984858</v>
      </c>
    </row>
    <row r="21" spans="1:15" x14ac:dyDescent="0.25">
      <c r="A21" s="2">
        <v>44658.541775740741</v>
      </c>
      <c r="B21" t="s">
        <v>46</v>
      </c>
      <c r="C21">
        <v>10.00015159</v>
      </c>
      <c r="D21" s="1">
        <v>1.37477270840111E-7</v>
      </c>
      <c r="E21">
        <v>4.8674999999999901E-4</v>
      </c>
      <c r="F21" s="1">
        <v>5.8411043476383703E-6</v>
      </c>
      <c r="G21">
        <v>1591.5</v>
      </c>
      <c r="H21">
        <v>15</v>
      </c>
      <c r="J21">
        <f t="shared" si="0"/>
        <v>10.00015163</v>
      </c>
      <c r="K21" s="1">
        <f t="shared" si="1"/>
        <v>4.5956999999999899E-4</v>
      </c>
      <c r="L21" s="3">
        <f t="shared" si="2"/>
        <v>4.5957730536423674E-6</v>
      </c>
      <c r="M21">
        <v>10</v>
      </c>
      <c r="N21" s="5">
        <f t="shared" si="3"/>
        <v>15.163000000040228</v>
      </c>
      <c r="O21" s="5">
        <f t="shared" si="4"/>
        <v>12.731200001013558</v>
      </c>
    </row>
    <row r="22" spans="1:15" x14ac:dyDescent="0.25">
      <c r="A22" s="2">
        <v>44658.542735833333</v>
      </c>
      <c r="B22" t="s">
        <v>47</v>
      </c>
      <c r="C22">
        <v>10.00012576</v>
      </c>
      <c r="D22" s="1">
        <v>1.01980390070119E-7</v>
      </c>
      <c r="E22">
        <v>4.6229000000000002E-4</v>
      </c>
      <c r="F22" s="1">
        <v>2.5339494864736398E-6</v>
      </c>
      <c r="G22">
        <v>1591.5</v>
      </c>
      <c r="H22">
        <v>15</v>
      </c>
      <c r="J22">
        <f t="shared" si="0"/>
        <v>10.000125799999999</v>
      </c>
      <c r="K22" s="1">
        <f t="shared" si="1"/>
        <v>4.3511E-4</v>
      </c>
      <c r="L22" s="3">
        <f t="shared" si="2"/>
        <v>4.3511804043883134E-6</v>
      </c>
      <c r="M22">
        <v>10</v>
      </c>
      <c r="N22" s="5">
        <f t="shared" si="3"/>
        <v>12.579999999928759</v>
      </c>
      <c r="O22" s="5">
        <f t="shared" si="4"/>
        <v>10.14820000090209</v>
      </c>
    </row>
    <row r="23" spans="1:15" x14ac:dyDescent="0.25">
      <c r="A23" s="2">
        <v>44658.543668333332</v>
      </c>
      <c r="B23" t="s">
        <v>48</v>
      </c>
      <c r="C23">
        <v>10.00023097</v>
      </c>
      <c r="D23" s="1">
        <v>1.67630546172721E-7</v>
      </c>
      <c r="E23">
        <v>4.9854999999999995E-4</v>
      </c>
      <c r="F23" s="1">
        <v>2.17313138121005E-6</v>
      </c>
      <c r="G23">
        <v>1591.5</v>
      </c>
      <c r="H23">
        <v>15</v>
      </c>
      <c r="J23">
        <f t="shared" si="0"/>
        <v>10.00023101</v>
      </c>
      <c r="K23" s="1">
        <f t="shared" si="1"/>
        <v>4.7136999999999993E-4</v>
      </c>
      <c r="L23" s="3">
        <f t="shared" si="2"/>
        <v>4.7137375122995049E-6</v>
      </c>
      <c r="M23">
        <v>10</v>
      </c>
      <c r="N23" s="5">
        <f t="shared" si="3"/>
        <v>23.101000000025351</v>
      </c>
      <c r="O23" s="5">
        <f t="shared" si="4"/>
        <v>20.669200000998682</v>
      </c>
    </row>
    <row r="24" spans="1:15" x14ac:dyDescent="0.25">
      <c r="A24" s="2">
        <v>44658.544480578705</v>
      </c>
      <c r="B24" t="s">
        <v>49</v>
      </c>
      <c r="C24">
        <v>9.999994482</v>
      </c>
      <c r="D24" s="1">
        <v>1.4379151578196301E-7</v>
      </c>
      <c r="E24">
        <v>4.6880999999999898E-4</v>
      </c>
      <c r="F24" s="1">
        <v>1.6501212076692899E-6</v>
      </c>
      <c r="G24">
        <v>1591.5</v>
      </c>
      <c r="H24">
        <v>15</v>
      </c>
      <c r="J24">
        <f t="shared" si="0"/>
        <v>9.9999945219999997</v>
      </c>
      <c r="K24" s="1">
        <f t="shared" si="1"/>
        <v>4.4162999999999895E-4</v>
      </c>
      <c r="L24" s="3">
        <f t="shared" si="2"/>
        <v>4.4164395866315181E-6</v>
      </c>
      <c r="M24">
        <v>10</v>
      </c>
      <c r="N24" s="5">
        <f t="shared" si="3"/>
        <v>-0.54780000002807583</v>
      </c>
      <c r="O24" s="5">
        <f t="shared" si="4"/>
        <v>-2.9795999990547459</v>
      </c>
    </row>
    <row r="25" spans="1:15" x14ac:dyDescent="0.25">
      <c r="A25" s="2">
        <v>44658.545336990741</v>
      </c>
      <c r="B25" t="s">
        <v>50</v>
      </c>
      <c r="C25">
        <v>10.000238810000001</v>
      </c>
      <c r="D25" s="1">
        <v>8.3066238573429394E-8</v>
      </c>
      <c r="E25">
        <v>5.0213999999999999E-4</v>
      </c>
      <c r="F25" s="1">
        <v>2.73173937263423E-6</v>
      </c>
      <c r="G25">
        <v>1591.5</v>
      </c>
      <c r="H25">
        <v>15</v>
      </c>
      <c r="J25">
        <f t="shared" si="0"/>
        <v>10.000238850000001</v>
      </c>
      <c r="K25" s="1">
        <f t="shared" si="1"/>
        <v>4.7495999999999997E-4</v>
      </c>
      <c r="L25" s="3">
        <f t="shared" si="2"/>
        <v>4.749634074369751E-6</v>
      </c>
      <c r="M25">
        <v>10</v>
      </c>
      <c r="N25" s="5">
        <f t="shared" si="3"/>
        <v>23.885000000056777</v>
      </c>
      <c r="O25" s="5">
        <f t="shared" si="4"/>
        <v>21.453200001030108</v>
      </c>
    </row>
    <row r="26" spans="1:15" x14ac:dyDescent="0.25">
      <c r="A26" s="2">
        <v>44658.548021377312</v>
      </c>
      <c r="B26" t="s">
        <v>51</v>
      </c>
      <c r="C26">
        <v>10.00032251</v>
      </c>
      <c r="D26" s="1">
        <v>9.4339811443904304E-8</v>
      </c>
      <c r="E26">
        <v>4.9332999999999896E-4</v>
      </c>
      <c r="F26" s="1">
        <v>3.4008969405143699E-6</v>
      </c>
      <c r="G26">
        <v>1591.5</v>
      </c>
      <c r="H26">
        <v>15</v>
      </c>
      <c r="I26" t="s">
        <v>52</v>
      </c>
      <c r="J26">
        <f t="shared" si="0"/>
        <v>10.00032255</v>
      </c>
      <c r="K26" s="1">
        <f t="shared" si="1"/>
        <v>4.6614999999999894E-4</v>
      </c>
      <c r="L26" s="3">
        <f t="shared" si="2"/>
        <v>4.6614944265501683E-6</v>
      </c>
      <c r="M26">
        <v>10</v>
      </c>
      <c r="N26" s="5">
        <f t="shared" si="3"/>
        <v>32.25500000003656</v>
      </c>
      <c r="O26" s="5">
        <f t="shared" si="4"/>
        <v>29.823200001009891</v>
      </c>
    </row>
    <row r="27" spans="1:15" x14ac:dyDescent="0.25">
      <c r="A27" s="2">
        <v>44658.549263969908</v>
      </c>
      <c r="B27" t="s">
        <v>53</v>
      </c>
      <c r="C27">
        <v>10.00025213</v>
      </c>
      <c r="D27" s="1">
        <v>1.00498756236745E-7</v>
      </c>
      <c r="E27">
        <v>4.8324000000000002E-4</v>
      </c>
      <c r="F27" s="1">
        <v>1.9147845831842199E-6</v>
      </c>
      <c r="G27">
        <v>1591.5</v>
      </c>
      <c r="H27">
        <v>15</v>
      </c>
      <c r="J27">
        <f t="shared" si="0"/>
        <v>10.00025217</v>
      </c>
      <c r="K27" s="1">
        <f t="shared" si="1"/>
        <v>4.5605999999999999E-4</v>
      </c>
      <c r="L27" s="3">
        <f t="shared" si="2"/>
        <v>4.5606266438447326E-6</v>
      </c>
      <c r="M27">
        <v>10</v>
      </c>
      <c r="N27" s="5">
        <f t="shared" si="3"/>
        <v>25.216999999910783</v>
      </c>
      <c r="O27" s="5">
        <f t="shared" si="4"/>
        <v>22.785200000884114</v>
      </c>
    </row>
    <row r="28" spans="1:15" x14ac:dyDescent="0.25">
      <c r="A28" s="2">
        <v>44658.550197881945</v>
      </c>
      <c r="B28" t="s">
        <v>54</v>
      </c>
      <c r="C28">
        <v>10.000380759999899</v>
      </c>
      <c r="D28" s="1">
        <v>1.5620499391069299E-7</v>
      </c>
      <c r="E28">
        <v>4.9232999999999905E-4</v>
      </c>
      <c r="F28" s="1">
        <v>1.7550213673912901E-6</v>
      </c>
      <c r="G28">
        <v>1591.5</v>
      </c>
      <c r="H28">
        <v>15</v>
      </c>
      <c r="J28">
        <f t="shared" si="0"/>
        <v>10.000380799999899</v>
      </c>
      <c r="K28" s="1">
        <f t="shared" si="1"/>
        <v>4.6514999999999903E-4</v>
      </c>
      <c r="L28" s="3">
        <f t="shared" si="2"/>
        <v>4.6514673445831936E-6</v>
      </c>
      <c r="M28">
        <v>10</v>
      </c>
      <c r="N28" s="5">
        <f t="shared" si="3"/>
        <v>38.079999989948377</v>
      </c>
      <c r="O28" s="5">
        <f t="shared" si="4"/>
        <v>35.648199990921704</v>
      </c>
    </row>
    <row r="29" spans="1:15" x14ac:dyDescent="0.25">
      <c r="A29" s="2">
        <v>44658.551162719908</v>
      </c>
      <c r="B29" t="s">
        <v>55</v>
      </c>
      <c r="C29">
        <v>10.00041293</v>
      </c>
      <c r="D29" s="1">
        <v>1.7349351568820899E-7</v>
      </c>
      <c r="E29">
        <v>4.8228999999999899E-4</v>
      </c>
      <c r="F29" s="1">
        <v>1.40815482103353E-6</v>
      </c>
      <c r="G29">
        <v>1591.5</v>
      </c>
      <c r="H29">
        <v>15</v>
      </c>
      <c r="J29">
        <f t="shared" si="0"/>
        <v>10.000412969999999</v>
      </c>
      <c r="K29" s="1">
        <f t="shared" si="1"/>
        <v>4.5510999999999897E-4</v>
      </c>
      <c r="L29" s="3">
        <f t="shared" si="2"/>
        <v>4.5510534092505526E-6</v>
      </c>
      <c r="M29">
        <v>10</v>
      </c>
      <c r="N29" s="5">
        <f t="shared" si="3"/>
        <v>41.296999999884676</v>
      </c>
      <c r="O29" s="5">
        <f t="shared" si="4"/>
        <v>38.865200000858003</v>
      </c>
    </row>
    <row r="30" spans="1:15" x14ac:dyDescent="0.25">
      <c r="A30" s="2">
        <v>44658.552331354163</v>
      </c>
      <c r="B30" t="s">
        <v>56</v>
      </c>
      <c r="C30">
        <v>10.000236079999899</v>
      </c>
      <c r="D30" s="1">
        <v>1.5362291501815899E-7</v>
      </c>
      <c r="E30">
        <v>4.7381999999999898E-4</v>
      </c>
      <c r="F30" s="1">
        <v>1.72151096424042E-6</v>
      </c>
      <c r="G30">
        <v>1591.5</v>
      </c>
      <c r="H30">
        <v>15</v>
      </c>
      <c r="I30" t="s">
        <v>57</v>
      </c>
      <c r="J30">
        <f t="shared" si="0"/>
        <v>10.000236119999899</v>
      </c>
      <c r="K30" s="1">
        <f t="shared" si="1"/>
        <v>4.4663999999999896E-4</v>
      </c>
      <c r="L30" s="3">
        <f t="shared" si="2"/>
        <v>4.4664332619560592E-6</v>
      </c>
      <c r="M30">
        <v>10</v>
      </c>
      <c r="N30" s="5">
        <f t="shared" si="3"/>
        <v>23.611999989903154</v>
      </c>
      <c r="O30" s="5">
        <f t="shared" si="4"/>
        <v>21.180199990876485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00BE-029F-4321-B59D-75C5189DBFE6}">
  <dimension ref="A1:P30"/>
  <sheetViews>
    <sheetView workbookViewId="0">
      <selection activeCell="N4" sqref="N4"/>
    </sheetView>
  </sheetViews>
  <sheetFormatPr defaultRowHeight="15" x14ac:dyDescent="0.25"/>
  <cols>
    <col min="1" max="1" width="16.85546875" customWidth="1"/>
    <col min="3" max="3" width="16.42578125" customWidth="1"/>
    <col min="4" max="5" width="11.140625" customWidth="1"/>
    <col min="9" max="9" width="46.85546875" customWidth="1"/>
    <col min="10" max="10" width="19" customWidth="1"/>
    <col min="14" max="14" width="11.42578125" bestFit="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 s="5">
        <f>N1 - N6</f>
        <v>-2.4293700000468563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2">
        <v>44662.408643356481</v>
      </c>
      <c r="B3" t="s">
        <v>17</v>
      </c>
      <c r="C3" s="1">
        <v>-8.6999999999999998E-8</v>
      </c>
      <c r="D3" s="1">
        <v>8.6029064856012399E-8</v>
      </c>
      <c r="E3" s="1">
        <v>2.67199999999999E-5</v>
      </c>
      <c r="F3" s="1">
        <v>9.2065194291871203E-7</v>
      </c>
      <c r="G3">
        <v>1591.5</v>
      </c>
      <c r="H3">
        <v>15</v>
      </c>
      <c r="I3" t="s">
        <v>58</v>
      </c>
      <c r="J3" s="1">
        <f>C3-C$3</f>
        <v>0</v>
      </c>
      <c r="K3" s="1">
        <f>D3-D$3</f>
        <v>0</v>
      </c>
      <c r="L3" s="4" t="s">
        <v>19</v>
      </c>
      <c r="N3" t="s">
        <v>20</v>
      </c>
    </row>
    <row r="4" spans="1:16" x14ac:dyDescent="0.25">
      <c r="A4" s="2">
        <v>44662.410796620374</v>
      </c>
      <c r="B4" t="s">
        <v>21</v>
      </c>
      <c r="C4">
        <v>9.9999756459999993</v>
      </c>
      <c r="D4" s="1">
        <v>6.8731361172761006E-8</v>
      </c>
      <c r="E4">
        <v>-1.5854000000000001E-4</v>
      </c>
      <c r="F4" s="1">
        <v>1.2792185114357901E-6</v>
      </c>
      <c r="G4">
        <v>1591.5</v>
      </c>
      <c r="H4">
        <v>15</v>
      </c>
      <c r="I4" t="s">
        <v>59</v>
      </c>
      <c r="J4">
        <f t="shared" ref="J4:J30" si="0">C4-C$3</f>
        <v>9.9999757329999994</v>
      </c>
      <c r="K4" s="1">
        <f>E4-E$3</f>
        <v>-1.8525999999999992E-4</v>
      </c>
      <c r="L4" s="3">
        <f>K4*0.000000001/(2*PI()*J4*G4*0.000000000001)</f>
        <v>-1.8526620363642017E-6</v>
      </c>
      <c r="M4">
        <v>10</v>
      </c>
      <c r="N4" s="5">
        <f>(J4/M4-1)*1000000</f>
        <v>-2.4267000000577355</v>
      </c>
      <c r="O4" s="5">
        <f>N4+P$1</f>
        <v>-4.8560700001045918</v>
      </c>
    </row>
    <row r="5" spans="1:16" x14ac:dyDescent="0.25">
      <c r="A5" s="2">
        <v>44662.412739780091</v>
      </c>
      <c r="B5" t="s">
        <v>23</v>
      </c>
      <c r="C5">
        <v>9.9999781100000007</v>
      </c>
      <c r="D5" s="1">
        <v>1.13048662108544E-7</v>
      </c>
      <c r="E5">
        <v>-9.8419999999999996E-5</v>
      </c>
      <c r="F5" s="1">
        <v>9.2822411086978104E-7</v>
      </c>
      <c r="G5">
        <v>1591.5</v>
      </c>
      <c r="H5">
        <v>15</v>
      </c>
      <c r="I5" t="s">
        <v>60</v>
      </c>
      <c r="J5">
        <f t="shared" si="0"/>
        <v>9.9999781970000008</v>
      </c>
      <c r="K5" s="1">
        <f t="shared" ref="K5:K30" si="1">E5-E$3</f>
        <v>-1.251399999999999E-4</v>
      </c>
      <c r="L5" s="3">
        <f t="shared" ref="L5:L30" si="2">K5*0.000000001/(2*PI()*J5*G5*0.000000000001)</f>
        <v>-1.2514415961599447E-6</v>
      </c>
      <c r="M5">
        <v>10</v>
      </c>
      <c r="N5" s="5">
        <f t="shared" ref="N5:N30" si="3">(J5/M5-1)*1000000</f>
        <v>-2.1802999998765671</v>
      </c>
      <c r="O5" s="5">
        <f t="shared" ref="O5:O30" si="4">N5+P$1</f>
        <v>-4.6096699999234234</v>
      </c>
    </row>
    <row r="6" spans="1:16" x14ac:dyDescent="0.25">
      <c r="A6" s="2">
        <v>44662.413990844907</v>
      </c>
      <c r="B6" t="s">
        <v>24</v>
      </c>
      <c r="C6">
        <v>99.999822850000001</v>
      </c>
      <c r="D6" s="1">
        <v>1.50000001516067E-7</v>
      </c>
      <c r="E6">
        <v>1.7087999999999999E-3</v>
      </c>
      <c r="F6" s="1">
        <v>2.5612496949731199E-6</v>
      </c>
      <c r="G6">
        <v>1591.5</v>
      </c>
      <c r="H6">
        <v>15</v>
      </c>
      <c r="J6">
        <f t="shared" si="0"/>
        <v>99.999822937000005</v>
      </c>
      <c r="K6" s="1">
        <f t="shared" si="1"/>
        <v>1.6820800000000001E-3</v>
      </c>
      <c r="L6" s="3">
        <f t="shared" si="2"/>
        <v>1.6821352227118844E-6</v>
      </c>
      <c r="M6">
        <v>100</v>
      </c>
      <c r="N6" s="5">
        <f t="shared" si="3"/>
        <v>-1.7706299999531439</v>
      </c>
      <c r="O6" s="5">
        <f t="shared" si="4"/>
        <v>-4.2</v>
      </c>
    </row>
    <row r="7" spans="1:16" x14ac:dyDescent="0.25">
      <c r="A7" s="2">
        <v>44662.415159999997</v>
      </c>
      <c r="B7" t="s">
        <v>25</v>
      </c>
      <c r="C7">
        <v>99.99981683</v>
      </c>
      <c r="D7" s="1">
        <v>7.8102496853000195E-8</v>
      </c>
      <c r="E7">
        <v>2.0878999999999902E-3</v>
      </c>
      <c r="F7" s="1">
        <v>1.4456832294800699E-6</v>
      </c>
      <c r="G7">
        <v>1591.5</v>
      </c>
      <c r="H7">
        <v>15</v>
      </c>
      <c r="J7">
        <f t="shared" si="0"/>
        <v>99.999816917000004</v>
      </c>
      <c r="K7" s="1">
        <f t="shared" si="1"/>
        <v>2.0611799999999902E-3</v>
      </c>
      <c r="L7" s="3">
        <f t="shared" si="2"/>
        <v>2.0612477926579549E-6</v>
      </c>
      <c r="M7">
        <v>100</v>
      </c>
      <c r="N7" s="5">
        <f t="shared" si="3"/>
        <v>-1.8308299999381106</v>
      </c>
      <c r="O7" s="5">
        <f t="shared" si="4"/>
        <v>-4.2601999999849669</v>
      </c>
    </row>
    <row r="8" spans="1:16" x14ac:dyDescent="0.25">
      <c r="A8" s="2">
        <v>44662.438269479164</v>
      </c>
      <c r="B8" t="s">
        <v>26</v>
      </c>
      <c r="C8">
        <v>9.9999754860000003</v>
      </c>
      <c r="D8" s="1">
        <v>1.31316411737009E-7</v>
      </c>
      <c r="E8">
        <v>-2.5619E-4</v>
      </c>
      <c r="F8" s="1">
        <v>8.3360662185470498E-7</v>
      </c>
      <c r="G8">
        <v>1591.5</v>
      </c>
      <c r="H8">
        <v>15</v>
      </c>
      <c r="I8" t="s">
        <v>61</v>
      </c>
      <c r="J8">
        <f t="shared" si="0"/>
        <v>9.9999755730000004</v>
      </c>
      <c r="K8" s="1">
        <f t="shared" si="1"/>
        <v>-2.8290999999999988E-4</v>
      </c>
      <c r="L8" s="3">
        <f t="shared" si="2"/>
        <v>-2.8291947808161646E-6</v>
      </c>
      <c r="M8">
        <v>10</v>
      </c>
      <c r="N8" s="5">
        <f t="shared" si="3"/>
        <v>-2.4426999999382915</v>
      </c>
      <c r="O8" s="5">
        <f t="shared" si="4"/>
        <v>-4.8720699999851478</v>
      </c>
    </row>
    <row r="9" spans="1:16" x14ac:dyDescent="0.25">
      <c r="A9" s="2">
        <v>44662.440187372682</v>
      </c>
      <c r="B9" t="s">
        <v>28</v>
      </c>
      <c r="C9">
        <v>9.999973013</v>
      </c>
      <c r="D9" s="1">
        <v>6.3725975928306499E-8</v>
      </c>
      <c r="E9">
        <v>-2.2339999999999901E-4</v>
      </c>
      <c r="F9" s="1">
        <v>9.5498691090506393E-7</v>
      </c>
      <c r="G9">
        <v>1591.5</v>
      </c>
      <c r="H9">
        <v>15</v>
      </c>
      <c r="J9">
        <f t="shared" si="0"/>
        <v>9.9999731000000001</v>
      </c>
      <c r="K9" s="1">
        <f t="shared" si="1"/>
        <v>-2.5011999999999891E-4</v>
      </c>
      <c r="L9" s="3">
        <f t="shared" si="2"/>
        <v>-2.5012844140438074E-6</v>
      </c>
      <c r="M9">
        <v>10</v>
      </c>
      <c r="N9" s="5">
        <f t="shared" si="3"/>
        <v>-2.6899999999718816</v>
      </c>
      <c r="O9" s="5">
        <f t="shared" si="4"/>
        <v>-5.1193700000187379</v>
      </c>
    </row>
    <row r="10" spans="1:16" x14ac:dyDescent="0.25">
      <c r="A10" s="2">
        <v>44662.44123921296</v>
      </c>
      <c r="B10" t="s">
        <v>29</v>
      </c>
      <c r="C10">
        <v>99.999780109999904</v>
      </c>
      <c r="D10" s="1">
        <v>1.51327460662241E-7</v>
      </c>
      <c r="E10">
        <v>7.9909999999999996E-4</v>
      </c>
      <c r="F10" s="1">
        <v>1.86815416922695E-6</v>
      </c>
      <c r="G10">
        <v>1591.5</v>
      </c>
      <c r="H10">
        <v>15</v>
      </c>
      <c r="J10">
        <f t="shared" si="0"/>
        <v>99.999780196999907</v>
      </c>
      <c r="K10" s="1">
        <f t="shared" si="1"/>
        <v>7.7238000000000003E-4</v>
      </c>
      <c r="L10" s="3">
        <f t="shared" si="2"/>
        <v>7.7240568737387822E-7</v>
      </c>
      <c r="M10">
        <v>100</v>
      </c>
      <c r="N10" s="5">
        <f t="shared" si="3"/>
        <v>-2.1980300008994647</v>
      </c>
      <c r="O10" s="5">
        <f t="shared" si="4"/>
        <v>-4.627400000946321</v>
      </c>
    </row>
    <row r="11" spans="1:16" x14ac:dyDescent="0.25">
      <c r="A11" s="2">
        <v>44662.44253241898</v>
      </c>
      <c r="B11" t="s">
        <v>30</v>
      </c>
      <c r="C11">
        <v>99.999861580000001</v>
      </c>
      <c r="D11" s="1">
        <v>7.48331482301852E-8</v>
      </c>
      <c r="E11">
        <v>8.9179999999999999E-4</v>
      </c>
      <c r="F11" s="1">
        <v>1.98997487421325E-6</v>
      </c>
      <c r="G11">
        <v>1591.5</v>
      </c>
      <c r="H11">
        <v>15</v>
      </c>
      <c r="J11">
        <f t="shared" si="0"/>
        <v>99.999861667000005</v>
      </c>
      <c r="K11" s="1">
        <f t="shared" si="1"/>
        <v>8.6508000000000006E-4</v>
      </c>
      <c r="L11" s="3">
        <f t="shared" si="2"/>
        <v>8.6510806553255938E-7</v>
      </c>
      <c r="M11">
        <v>100</v>
      </c>
      <c r="N11" s="5">
        <f t="shared" si="3"/>
        <v>-1.3833299999932436</v>
      </c>
      <c r="O11" s="5">
        <f t="shared" si="4"/>
        <v>-3.8127000000400999</v>
      </c>
    </row>
    <row r="12" spans="1:16" x14ac:dyDescent="0.25">
      <c r="A12" s="2">
        <v>44662.444244618055</v>
      </c>
      <c r="B12" t="s">
        <v>31</v>
      </c>
      <c r="C12">
        <v>10.000273689999901</v>
      </c>
      <c r="D12" s="1">
        <v>1.6401219466820599E-7</v>
      </c>
      <c r="E12">
        <v>9.7076999999999895E-4</v>
      </c>
      <c r="F12" s="1">
        <v>3.7496799863455E-6</v>
      </c>
      <c r="G12">
        <v>1591.5</v>
      </c>
      <c r="H12">
        <v>15</v>
      </c>
      <c r="I12" t="s">
        <v>62</v>
      </c>
      <c r="J12">
        <f t="shared" si="0"/>
        <v>10.000273776999901</v>
      </c>
      <c r="K12" s="1">
        <f t="shared" si="1"/>
        <v>9.4404999999999901E-4</v>
      </c>
      <c r="L12" s="3">
        <f t="shared" si="2"/>
        <v>9.4405347554484485E-6</v>
      </c>
      <c r="M12">
        <v>10</v>
      </c>
      <c r="N12" s="5">
        <f t="shared" si="3"/>
        <v>27.377699990172033</v>
      </c>
      <c r="O12" s="5">
        <f t="shared" si="4"/>
        <v>24.948329990125178</v>
      </c>
    </row>
    <row r="13" spans="1:16" x14ac:dyDescent="0.25">
      <c r="A13" s="2">
        <v>44662.446245289349</v>
      </c>
      <c r="B13" t="s">
        <v>33</v>
      </c>
      <c r="C13">
        <v>100.00439489999999</v>
      </c>
      <c r="D13">
        <v>2.9999999924257201E-7</v>
      </c>
      <c r="E13">
        <v>8.6801999999999904E-3</v>
      </c>
      <c r="F13" s="1">
        <v>4.2571821666449699E-5</v>
      </c>
      <c r="G13">
        <v>1591.5</v>
      </c>
      <c r="H13">
        <v>15</v>
      </c>
      <c r="J13">
        <f t="shared" si="0"/>
        <v>100.004394987</v>
      </c>
      <c r="K13" s="1">
        <f t="shared" si="1"/>
        <v>8.6534799999999912E-3</v>
      </c>
      <c r="L13" s="3">
        <f t="shared" si="2"/>
        <v>8.6533684568464374E-6</v>
      </c>
      <c r="M13">
        <v>100</v>
      </c>
      <c r="N13" s="5">
        <f t="shared" si="3"/>
        <v>43.949870000004054</v>
      </c>
      <c r="O13" s="5">
        <f t="shared" si="4"/>
        <v>41.520499999957195</v>
      </c>
    </row>
    <row r="14" spans="1:16" x14ac:dyDescent="0.25">
      <c r="A14" s="2">
        <v>44662.44826109954</v>
      </c>
      <c r="B14" t="s">
        <v>34</v>
      </c>
      <c r="C14">
        <v>1000.034319</v>
      </c>
      <c r="D14" s="1">
        <v>2.9999999924257298E-6</v>
      </c>
      <c r="E14">
        <v>0.19547100000000001</v>
      </c>
      <c r="F14">
        <v>1.7328877632437901E-4</v>
      </c>
      <c r="G14">
        <v>1591.5</v>
      </c>
      <c r="H14">
        <v>1.5</v>
      </c>
      <c r="J14">
        <f t="shared" si="0"/>
        <v>1000.034319087</v>
      </c>
      <c r="K14" s="1">
        <f t="shared" si="1"/>
        <v>0.19544428</v>
      </c>
      <c r="L14" s="3">
        <f t="shared" si="2"/>
        <v>1.9544364292042188E-5</v>
      </c>
      <c r="M14">
        <v>1000</v>
      </c>
      <c r="N14" s="5">
        <f t="shared" si="3"/>
        <v>34.319087000023174</v>
      </c>
      <c r="O14" s="5">
        <f t="shared" si="4"/>
        <v>31.889716999976319</v>
      </c>
    </row>
    <row r="15" spans="1:16" x14ac:dyDescent="0.25">
      <c r="A15" s="2">
        <v>44662.449404317129</v>
      </c>
      <c r="B15" t="s">
        <v>35</v>
      </c>
      <c r="C15">
        <v>1000.01853399999</v>
      </c>
      <c r="D15" s="1">
        <v>4.89897947319762E-6</v>
      </c>
      <c r="E15">
        <v>0.200965</v>
      </c>
      <c r="F15">
        <v>1.20602653370478E-4</v>
      </c>
      <c r="G15">
        <v>1591.5</v>
      </c>
      <c r="H15">
        <v>1.5</v>
      </c>
      <c r="J15">
        <f t="shared" si="0"/>
        <v>1000.01853408699</v>
      </c>
      <c r="K15" s="1">
        <f t="shared" si="1"/>
        <v>0.20093828</v>
      </c>
      <c r="L15" s="3">
        <f t="shared" si="2"/>
        <v>2.0094079675354264E-5</v>
      </c>
      <c r="M15">
        <v>1000</v>
      </c>
      <c r="N15" s="5">
        <f t="shared" si="3"/>
        <v>18.534086990040777</v>
      </c>
      <c r="O15" s="5">
        <f t="shared" si="4"/>
        <v>16.104716989993921</v>
      </c>
    </row>
    <row r="16" spans="1:16" x14ac:dyDescent="0.25">
      <c r="A16" s="2">
        <v>44662.450646874997</v>
      </c>
      <c r="B16" t="s">
        <v>36</v>
      </c>
      <c r="C16">
        <v>4.9999474429999999</v>
      </c>
      <c r="D16" s="1">
        <v>6.9289248766165394E-8</v>
      </c>
      <c r="E16">
        <v>2.5266999999999998E-4</v>
      </c>
      <c r="F16" s="1">
        <v>1.44502595132405E-6</v>
      </c>
      <c r="G16">
        <v>1591.5</v>
      </c>
      <c r="H16">
        <v>15</v>
      </c>
      <c r="I16" t="s">
        <v>63</v>
      </c>
      <c r="J16">
        <f t="shared" si="0"/>
        <v>4.99994753</v>
      </c>
      <c r="K16" s="1">
        <f t="shared" si="1"/>
        <v>2.2595000000000007E-4</v>
      </c>
      <c r="L16" s="3">
        <f t="shared" si="2"/>
        <v>4.5191877814553864E-6</v>
      </c>
      <c r="M16">
        <v>5</v>
      </c>
      <c r="N16" s="5">
        <f t="shared" si="3"/>
        <v>-10.493999999972026</v>
      </c>
      <c r="O16" s="5">
        <f t="shared" si="4"/>
        <v>-12.923370000018881</v>
      </c>
    </row>
    <row r="17" spans="1:15" x14ac:dyDescent="0.25">
      <c r="A17" s="2">
        <v>44662.452797962964</v>
      </c>
      <c r="B17" t="s">
        <v>38</v>
      </c>
      <c r="C17">
        <v>5.0000966099999999</v>
      </c>
      <c r="D17" s="1">
        <v>1.16103402080676E-7</v>
      </c>
      <c r="E17">
        <v>2.2520999999999899E-4</v>
      </c>
      <c r="F17" s="1">
        <v>5.1657429281759603E-6</v>
      </c>
      <c r="G17">
        <v>1591.5</v>
      </c>
      <c r="H17">
        <v>15</v>
      </c>
      <c r="I17" t="s">
        <v>64</v>
      </c>
      <c r="J17">
        <f t="shared" si="0"/>
        <v>5.000096697</v>
      </c>
      <c r="K17" s="1">
        <f t="shared" si="1"/>
        <v>1.9848999999999908E-4</v>
      </c>
      <c r="L17" s="3">
        <f t="shared" si="2"/>
        <v>3.9698465248665057E-6</v>
      </c>
      <c r="M17">
        <v>5</v>
      </c>
      <c r="N17" s="5">
        <f t="shared" si="3"/>
        <v>19.339400000095708</v>
      </c>
      <c r="O17" s="5">
        <f t="shared" si="4"/>
        <v>16.910030000048852</v>
      </c>
    </row>
    <row r="18" spans="1:15" x14ac:dyDescent="0.25">
      <c r="A18" s="2">
        <v>44662.454920219905</v>
      </c>
      <c r="B18" t="s">
        <v>40</v>
      </c>
      <c r="C18">
        <v>0.50005059500000004</v>
      </c>
      <c r="D18" s="1">
        <v>6.4226162899710099E-8</v>
      </c>
      <c r="E18" s="1">
        <v>7.3739999999999995E-5</v>
      </c>
      <c r="F18" s="1">
        <v>1.5067846561469801E-6</v>
      </c>
      <c r="G18">
        <v>1591.5</v>
      </c>
      <c r="H18">
        <v>15</v>
      </c>
      <c r="I18" t="s">
        <v>65</v>
      </c>
      <c r="J18">
        <f t="shared" si="0"/>
        <v>0.50005068200000002</v>
      </c>
      <c r="K18" s="1">
        <f t="shared" si="1"/>
        <v>4.7020000000000095E-5</v>
      </c>
      <c r="L18" s="3">
        <f t="shared" si="2"/>
        <v>9.4033389218648447E-6</v>
      </c>
      <c r="M18">
        <v>0.5</v>
      </c>
      <c r="N18" s="5">
        <f t="shared" si="3"/>
        <v>101.36400000004819</v>
      </c>
      <c r="O18" s="5">
        <f t="shared" si="4"/>
        <v>98.934630000001334</v>
      </c>
    </row>
    <row r="19" spans="1:15" x14ac:dyDescent="0.25">
      <c r="A19" s="2">
        <v>44662.461761134262</v>
      </c>
      <c r="B19" t="s">
        <v>42</v>
      </c>
      <c r="C19">
        <v>1000.16749299999</v>
      </c>
      <c r="D19" s="1">
        <v>6.4031242212665098E-6</v>
      </c>
      <c r="E19">
        <v>0.25689899999999999</v>
      </c>
      <c r="F19">
        <v>4.4347378727496202E-4</v>
      </c>
      <c r="G19">
        <v>1591.5</v>
      </c>
      <c r="H19">
        <v>1.5</v>
      </c>
      <c r="I19" t="s">
        <v>66</v>
      </c>
      <c r="J19">
        <f t="shared" si="0"/>
        <v>1000.16749308699</v>
      </c>
      <c r="K19" s="1">
        <f t="shared" si="1"/>
        <v>0.25687228000000001</v>
      </c>
      <c r="L19" s="3">
        <f t="shared" si="2"/>
        <v>2.5683723981799602E-5</v>
      </c>
      <c r="M19">
        <v>1000</v>
      </c>
      <c r="N19" s="5">
        <f t="shared" si="3"/>
        <v>167.49308698993383</v>
      </c>
      <c r="O19" s="5">
        <f t="shared" si="4"/>
        <v>165.06371698988698</v>
      </c>
    </row>
    <row r="20" spans="1:15" x14ac:dyDescent="0.25">
      <c r="A20" s="2">
        <v>44662.466155127317</v>
      </c>
      <c r="B20" t="s">
        <v>44</v>
      </c>
      <c r="C20">
        <v>10.00039009</v>
      </c>
      <c r="D20" s="1">
        <v>1.3747727073674201E-7</v>
      </c>
      <c r="E20">
        <v>4.8357000000000001E-4</v>
      </c>
      <c r="F20" s="1">
        <v>2.3732045845227901E-6</v>
      </c>
      <c r="G20">
        <v>1591.5</v>
      </c>
      <c r="H20">
        <v>15</v>
      </c>
      <c r="I20" t="s">
        <v>67</v>
      </c>
      <c r="J20">
        <f t="shared" si="0"/>
        <v>10.000390177</v>
      </c>
      <c r="K20" s="1">
        <f t="shared" si="1"/>
        <v>4.5685000000000013E-4</v>
      </c>
      <c r="L20" s="3">
        <f t="shared" si="2"/>
        <v>4.5684636435915889E-6</v>
      </c>
      <c r="M20">
        <v>10</v>
      </c>
      <c r="N20" s="5">
        <f t="shared" si="3"/>
        <v>39.017700000032463</v>
      </c>
      <c r="O20" s="5">
        <f t="shared" si="4"/>
        <v>36.588329999985604</v>
      </c>
    </row>
    <row r="21" spans="1:15" x14ac:dyDescent="0.25">
      <c r="A21" s="2">
        <v>44662.467977615743</v>
      </c>
      <c r="B21" t="s">
        <v>46</v>
      </c>
      <c r="C21">
        <v>10.00015275</v>
      </c>
      <c r="D21" s="1">
        <v>1.2041594586744901E-7</v>
      </c>
      <c r="E21">
        <v>4.8111999999999997E-4</v>
      </c>
      <c r="F21" s="1">
        <v>2.33143732491354E-6</v>
      </c>
      <c r="G21">
        <v>1591.5</v>
      </c>
      <c r="H21">
        <v>15</v>
      </c>
      <c r="J21">
        <f t="shared" si="0"/>
        <v>10.000152837</v>
      </c>
      <c r="K21" s="1">
        <f t="shared" si="1"/>
        <v>4.5440000000000009E-4</v>
      </c>
      <c r="L21" s="3">
        <f t="shared" si="2"/>
        <v>4.5440716833535966E-6</v>
      </c>
      <c r="M21">
        <v>10</v>
      </c>
      <c r="N21" s="5">
        <f t="shared" si="3"/>
        <v>15.283700000034983</v>
      </c>
      <c r="O21" s="5">
        <f t="shared" si="4"/>
        <v>12.854329999988128</v>
      </c>
    </row>
    <row r="22" spans="1:15" x14ac:dyDescent="0.25">
      <c r="A22" s="2">
        <v>44662.468937372687</v>
      </c>
      <c r="B22" t="s">
        <v>47</v>
      </c>
      <c r="C22">
        <v>10.000127129999999</v>
      </c>
      <c r="D22" s="1">
        <v>1.2688577543133E-7</v>
      </c>
      <c r="E22">
        <v>4.6994999999999898E-4</v>
      </c>
      <c r="F22" s="1">
        <v>3.3856314034460398E-6</v>
      </c>
      <c r="G22">
        <v>1591.5</v>
      </c>
      <c r="H22">
        <v>15</v>
      </c>
      <c r="J22">
        <f t="shared" si="0"/>
        <v>10.000127216999999</v>
      </c>
      <c r="K22" s="1">
        <f t="shared" si="1"/>
        <v>4.432299999999991E-4</v>
      </c>
      <c r="L22" s="3">
        <f t="shared" si="2"/>
        <v>4.4323812768302553E-6</v>
      </c>
      <c r="M22">
        <v>10</v>
      </c>
      <c r="N22" s="5">
        <f t="shared" si="3"/>
        <v>12.721699999884706</v>
      </c>
      <c r="O22" s="5">
        <f t="shared" si="4"/>
        <v>10.29232999983785</v>
      </c>
    </row>
    <row r="23" spans="1:15" x14ac:dyDescent="0.25">
      <c r="A23" s="2">
        <v>44662.469868263892</v>
      </c>
      <c r="B23" t="s">
        <v>48</v>
      </c>
      <c r="C23">
        <v>10.00023238</v>
      </c>
      <c r="D23" s="1">
        <v>1.46969384398983E-7</v>
      </c>
      <c r="E23">
        <v>5.0552999999999904E-4</v>
      </c>
      <c r="F23" s="1">
        <v>3.0551759360141598E-6</v>
      </c>
      <c r="G23">
        <v>1591.5</v>
      </c>
      <c r="H23">
        <v>15</v>
      </c>
      <c r="J23">
        <f t="shared" si="0"/>
        <v>10.000232467</v>
      </c>
      <c r="K23" s="1">
        <f t="shared" si="1"/>
        <v>4.7880999999999916E-4</v>
      </c>
      <c r="L23" s="3">
        <f t="shared" si="2"/>
        <v>4.7881374067698457E-6</v>
      </c>
      <c r="M23">
        <v>10</v>
      </c>
      <c r="N23" s="5">
        <f t="shared" si="3"/>
        <v>23.246700000090215</v>
      </c>
      <c r="O23" s="5">
        <f t="shared" si="4"/>
        <v>20.817330000043359</v>
      </c>
    </row>
    <row r="24" spans="1:15" x14ac:dyDescent="0.25">
      <c r="A24" s="2">
        <v>44662.471612569447</v>
      </c>
      <c r="B24" t="s">
        <v>49</v>
      </c>
      <c r="C24">
        <v>9.9999957029999997</v>
      </c>
      <c r="D24" s="1">
        <v>1.25622450464091E-7</v>
      </c>
      <c r="E24">
        <v>4.7259E-4</v>
      </c>
      <c r="F24" s="1">
        <v>3.07032571562041E-6</v>
      </c>
      <c r="G24">
        <v>1591.5</v>
      </c>
      <c r="H24">
        <v>15</v>
      </c>
      <c r="J24">
        <f t="shared" si="0"/>
        <v>9.9999957899999998</v>
      </c>
      <c r="K24" s="1">
        <f t="shared" si="1"/>
        <v>4.4587000000000012E-4</v>
      </c>
      <c r="L24" s="3">
        <f t="shared" si="2"/>
        <v>4.4588403613931806E-6</v>
      </c>
      <c r="M24">
        <v>10</v>
      </c>
      <c r="N24" s="5">
        <f t="shared" si="3"/>
        <v>-0.42099999997269322</v>
      </c>
      <c r="O24" s="5">
        <f t="shared" si="4"/>
        <v>-2.8503700000195495</v>
      </c>
    </row>
    <row r="25" spans="1:15" x14ac:dyDescent="0.25">
      <c r="A25" s="2">
        <v>44662.472381111111</v>
      </c>
      <c r="B25" t="s">
        <v>50</v>
      </c>
      <c r="C25">
        <v>10.0002402</v>
      </c>
      <c r="D25" s="1">
        <v>1.41421356005862E-7</v>
      </c>
      <c r="E25">
        <v>5.0421000000000005E-4</v>
      </c>
      <c r="F25" s="1">
        <v>2.3851415052361201E-6</v>
      </c>
      <c r="G25">
        <v>1591.5</v>
      </c>
      <c r="H25">
        <v>15</v>
      </c>
      <c r="J25">
        <f t="shared" si="0"/>
        <v>10.000240287</v>
      </c>
      <c r="K25" s="1">
        <f t="shared" si="1"/>
        <v>4.7749000000000017E-4</v>
      </c>
      <c r="L25" s="3">
        <f t="shared" si="2"/>
        <v>4.7749335697343258E-6</v>
      </c>
      <c r="M25">
        <v>10</v>
      </c>
      <c r="N25" s="5">
        <f t="shared" si="3"/>
        <v>24.02869999995616</v>
      </c>
      <c r="O25" s="5">
        <f t="shared" si="4"/>
        <v>21.599329999909305</v>
      </c>
    </row>
    <row r="26" spans="1:15" x14ac:dyDescent="0.25">
      <c r="A26" s="2">
        <v>44662.473217881947</v>
      </c>
      <c r="B26" t="s">
        <v>51</v>
      </c>
      <c r="C26">
        <v>10.00032392</v>
      </c>
      <c r="D26" s="1">
        <v>1.7776388880484599E-7</v>
      </c>
      <c r="E26">
        <v>5.0199999999999995E-4</v>
      </c>
      <c r="F26" s="1">
        <v>2.9936599673309599E-6</v>
      </c>
      <c r="G26">
        <v>1591.5</v>
      </c>
      <c r="H26">
        <v>15</v>
      </c>
      <c r="J26">
        <f t="shared" si="0"/>
        <v>10.000324007</v>
      </c>
      <c r="K26" s="1">
        <f t="shared" si="1"/>
        <v>4.7528000000000007E-4</v>
      </c>
      <c r="L26" s="3">
        <f t="shared" si="2"/>
        <v>4.7527936249290615E-6</v>
      </c>
      <c r="M26">
        <v>10</v>
      </c>
      <c r="N26" s="5">
        <f t="shared" si="3"/>
        <v>32.400699999879379</v>
      </c>
      <c r="O26" s="5">
        <f t="shared" si="4"/>
        <v>29.971329999832523</v>
      </c>
    </row>
    <row r="27" spans="1:15" x14ac:dyDescent="0.25">
      <c r="A27" s="2">
        <v>44662.474148553243</v>
      </c>
      <c r="B27" t="s">
        <v>53</v>
      </c>
      <c r="C27">
        <v>10.000253699999901</v>
      </c>
      <c r="D27" s="1">
        <v>8.9442718556406002E-8</v>
      </c>
      <c r="E27">
        <v>4.9492999999999998E-4</v>
      </c>
      <c r="F27" s="1">
        <v>2.0169531476958099E-6</v>
      </c>
      <c r="G27">
        <v>1591.5</v>
      </c>
      <c r="H27">
        <v>15</v>
      </c>
      <c r="I27" t="s">
        <v>68</v>
      </c>
      <c r="J27">
        <f t="shared" si="0"/>
        <v>10.000253786999901</v>
      </c>
      <c r="K27" s="1">
        <f t="shared" si="1"/>
        <v>4.682100000000001E-4</v>
      </c>
      <c r="L27" s="3">
        <f t="shared" si="2"/>
        <v>4.6821265965888344E-6</v>
      </c>
      <c r="M27">
        <v>10</v>
      </c>
      <c r="N27" s="5">
        <f t="shared" si="3"/>
        <v>25.378699989975217</v>
      </c>
      <c r="O27" s="5">
        <f t="shared" si="4"/>
        <v>22.949329989928362</v>
      </c>
    </row>
    <row r="28" spans="1:15" x14ac:dyDescent="0.25">
      <c r="A28" s="2">
        <v>44662.475079016207</v>
      </c>
      <c r="B28" t="s">
        <v>54</v>
      </c>
      <c r="C28">
        <v>10.000382200000001</v>
      </c>
      <c r="D28" s="1">
        <v>1.00000000102795E-7</v>
      </c>
      <c r="E28">
        <v>5.0180999999999999E-4</v>
      </c>
      <c r="F28" s="1">
        <v>3.03197955138221E-6</v>
      </c>
      <c r="G28">
        <v>1591.5</v>
      </c>
      <c r="H28">
        <v>15</v>
      </c>
      <c r="J28">
        <f t="shared" si="0"/>
        <v>10.000382287000001</v>
      </c>
      <c r="K28" s="1">
        <f t="shared" si="1"/>
        <v>4.7509000000000012E-4</v>
      </c>
      <c r="L28" s="3">
        <f t="shared" si="2"/>
        <v>4.7508659403279714E-6</v>
      </c>
      <c r="M28">
        <v>10</v>
      </c>
      <c r="N28" s="5">
        <f t="shared" si="3"/>
        <v>38.228700000031424</v>
      </c>
      <c r="O28" s="5">
        <f t="shared" si="4"/>
        <v>35.799329999984565</v>
      </c>
    </row>
    <row r="29" spans="1:15" x14ac:dyDescent="0.25">
      <c r="A29" s="2">
        <v>44662.476074664351</v>
      </c>
      <c r="B29" t="s">
        <v>55</v>
      </c>
      <c r="C29">
        <v>10.000414579999999</v>
      </c>
      <c r="D29" s="1">
        <v>1.2489996009067001E-7</v>
      </c>
      <c r="E29">
        <v>4.9109999999999996E-4</v>
      </c>
      <c r="F29" s="1">
        <v>2.46698196183109E-6</v>
      </c>
      <c r="G29">
        <v>1591.5</v>
      </c>
      <c r="H29">
        <v>15</v>
      </c>
      <c r="J29">
        <f t="shared" si="0"/>
        <v>10.000414666999999</v>
      </c>
      <c r="K29" s="1">
        <f t="shared" si="1"/>
        <v>4.6438000000000008E-4</v>
      </c>
      <c r="L29" s="3">
        <f t="shared" si="2"/>
        <v>4.6437516722453528E-6</v>
      </c>
      <c r="M29">
        <v>10</v>
      </c>
      <c r="N29" s="5">
        <f t="shared" si="3"/>
        <v>41.466699999936907</v>
      </c>
      <c r="O29" s="5">
        <f t="shared" si="4"/>
        <v>39.037329999890048</v>
      </c>
    </row>
    <row r="30" spans="1:15" x14ac:dyDescent="0.25">
      <c r="A30" s="2">
        <v>44662.47687791667</v>
      </c>
      <c r="B30" t="s">
        <v>56</v>
      </c>
      <c r="C30">
        <v>10.00023751</v>
      </c>
      <c r="D30" s="1">
        <v>1.5132745968794501E-7</v>
      </c>
      <c r="E30">
        <v>4.84779999999999E-4</v>
      </c>
      <c r="F30" s="1">
        <v>2.43343378788082E-6</v>
      </c>
      <c r="G30">
        <v>1591.5</v>
      </c>
      <c r="H30">
        <v>15</v>
      </c>
      <c r="J30">
        <f t="shared" si="0"/>
        <v>10.000237597</v>
      </c>
      <c r="K30" s="1">
        <f t="shared" si="1"/>
        <v>4.5805999999999912E-4</v>
      </c>
      <c r="L30" s="3">
        <f t="shared" si="2"/>
        <v>4.5806334358770968E-6</v>
      </c>
      <c r="M30">
        <v>10</v>
      </c>
      <c r="N30" s="5">
        <f t="shared" si="3"/>
        <v>23.759699999903461</v>
      </c>
      <c r="O30" s="5">
        <f t="shared" si="4"/>
        <v>21.330329999856605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8CE1-F846-4B5D-8FCE-D948947F92C5}">
  <dimension ref="A1:P19"/>
  <sheetViews>
    <sheetView workbookViewId="0">
      <selection activeCell="I18" sqref="I18"/>
    </sheetView>
  </sheetViews>
  <sheetFormatPr defaultRowHeight="15" x14ac:dyDescent="0.25"/>
  <cols>
    <col min="1" max="1" width="18.28515625" customWidth="1"/>
    <col min="9" max="9" width="57.28515625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 s="5">
        <f>N1 - N6</f>
        <v>-2.4268800000628774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2">
        <v>44711.54795925926</v>
      </c>
      <c r="B3" t="s">
        <v>17</v>
      </c>
      <c r="C3" s="1">
        <v>-1.3799999999999999E-7</v>
      </c>
      <c r="D3" s="1">
        <v>6.3055531081737698E-8</v>
      </c>
      <c r="E3" s="1">
        <v>2.8189999999999901E-5</v>
      </c>
      <c r="F3" s="1">
        <v>4.74236228055174E-7</v>
      </c>
      <c r="G3">
        <v>1591.5</v>
      </c>
      <c r="H3">
        <v>15</v>
      </c>
      <c r="I3" t="s">
        <v>69</v>
      </c>
      <c r="J3" s="1">
        <f>C3-C$3</f>
        <v>0</v>
      </c>
      <c r="K3" s="1">
        <f>D3-D$3</f>
        <v>0</v>
      </c>
      <c r="L3" s="4" t="s">
        <v>19</v>
      </c>
      <c r="N3" t="s">
        <v>20</v>
      </c>
    </row>
    <row r="4" spans="1:16" x14ac:dyDescent="0.25">
      <c r="A4" s="2">
        <v>44711.551038854166</v>
      </c>
      <c r="B4" t="s">
        <v>21</v>
      </c>
      <c r="C4">
        <v>9.9999761899999999</v>
      </c>
      <c r="D4" s="1">
        <v>9.0553851399916501E-8</v>
      </c>
      <c r="E4">
        <v>-8.5649999999999995E-5</v>
      </c>
      <c r="F4" s="1">
        <v>9.0138781886599497E-7</v>
      </c>
      <c r="G4">
        <v>1591.5</v>
      </c>
      <c r="H4">
        <v>15</v>
      </c>
      <c r="I4" t="s">
        <v>70</v>
      </c>
      <c r="J4">
        <f t="shared" ref="J4:J19" si="0">C4-C$3</f>
        <v>9.9999763280000007</v>
      </c>
      <c r="K4" s="1">
        <f>E4-E$3</f>
        <v>-1.138399999999999E-4</v>
      </c>
      <c r="L4" s="3">
        <f>K4*0.000000001/(2*PI()*J4*G4*0.000000000001)</f>
        <v>-1.1384380528484379E-6</v>
      </c>
      <c r="M4">
        <v>10</v>
      </c>
      <c r="N4" s="5">
        <f>(J4/M4-1)*1000000</f>
        <v>-2.3671999999086424</v>
      </c>
      <c r="O4" s="5">
        <f>N4+P$1</f>
        <v>-4.7940799999715198</v>
      </c>
    </row>
    <row r="5" spans="1:16" x14ac:dyDescent="0.25">
      <c r="A5" s="2">
        <v>44711.552134201389</v>
      </c>
      <c r="B5" t="s">
        <v>23</v>
      </c>
      <c r="C5">
        <v>9.99997806699999</v>
      </c>
      <c r="D5" s="1">
        <v>7.0859014861267294E-8</v>
      </c>
      <c r="E5">
        <v>2.34E-6</v>
      </c>
      <c r="F5" s="1">
        <v>1.0374969879474301E-6</v>
      </c>
      <c r="G5">
        <v>1591.5</v>
      </c>
      <c r="H5">
        <v>15</v>
      </c>
      <c r="J5">
        <f t="shared" si="0"/>
        <v>9.9999782049999908</v>
      </c>
      <c r="K5" s="1">
        <f t="shared" ref="K5:K19" si="1">E5-E$3</f>
        <v>-2.58499999999999E-5</v>
      </c>
      <c r="L5" s="3">
        <f t="shared" ref="L5:L19" si="2">K5*0.000000001/(2*PI()*J5*G5*0.000000000001)</f>
        <v>-2.5850859225551096E-7</v>
      </c>
      <c r="M5">
        <v>10</v>
      </c>
      <c r="N5" s="5">
        <f t="shared" ref="N5:N19" si="3">(J5/M5-1)*1000000</f>
        <v>-2.1795000009205978</v>
      </c>
      <c r="O5" s="5">
        <f t="shared" ref="O5:O19" si="4">N5+P$1</f>
        <v>-4.6063800009834752</v>
      </c>
    </row>
    <row r="6" spans="1:16" x14ac:dyDescent="0.25">
      <c r="A6" s="2">
        <v>44711.553106782405</v>
      </c>
      <c r="B6" t="s">
        <v>24</v>
      </c>
      <c r="C6">
        <v>99.999822550000005</v>
      </c>
      <c r="D6" s="1">
        <v>8.0622578865809005E-8</v>
      </c>
      <c r="E6">
        <v>1.7922000000000001E-3</v>
      </c>
      <c r="F6" s="1">
        <v>9.7979589711328109E-7</v>
      </c>
      <c r="G6">
        <v>1591.5</v>
      </c>
      <c r="H6">
        <v>15</v>
      </c>
      <c r="J6">
        <f t="shared" si="0"/>
        <v>99.999822688000009</v>
      </c>
      <c r="K6" s="1">
        <f t="shared" si="1"/>
        <v>1.7640100000000001E-3</v>
      </c>
      <c r="L6" s="3">
        <f t="shared" si="2"/>
        <v>1.764067916867563E-6</v>
      </c>
      <c r="M6">
        <v>100</v>
      </c>
      <c r="N6" s="5">
        <f t="shared" si="3"/>
        <v>-1.7731199999371228</v>
      </c>
      <c r="O6" s="5">
        <f t="shared" si="4"/>
        <v>-4.2</v>
      </c>
    </row>
    <row r="7" spans="1:16" x14ac:dyDescent="0.25">
      <c r="A7" s="2">
        <v>44711.55424297454</v>
      </c>
      <c r="B7" t="s">
        <v>25</v>
      </c>
      <c r="C7">
        <v>99.999817190000002</v>
      </c>
      <c r="D7" s="1">
        <v>8.3066239343284498E-8</v>
      </c>
      <c r="E7">
        <v>2.1573999999999999E-3</v>
      </c>
      <c r="F7" s="1">
        <v>1.01980390271855E-6</v>
      </c>
      <c r="G7">
        <v>1591.5</v>
      </c>
      <c r="H7">
        <v>15</v>
      </c>
      <c r="I7" t="s">
        <v>71</v>
      </c>
      <c r="J7">
        <f t="shared" si="0"/>
        <v>99.999817328000006</v>
      </c>
      <c r="K7" s="1">
        <f t="shared" si="1"/>
        <v>2.1292099999999999E-3</v>
      </c>
      <c r="L7" s="3">
        <f t="shared" si="2"/>
        <v>2.1292800214280862E-6</v>
      </c>
      <c r="M7">
        <v>100</v>
      </c>
      <c r="N7" s="5">
        <f t="shared" si="3"/>
        <v>-1.8267199999311146</v>
      </c>
      <c r="O7" s="5">
        <f t="shared" si="4"/>
        <v>-4.253599999993992</v>
      </c>
    </row>
    <row r="8" spans="1:16" x14ac:dyDescent="0.25">
      <c r="A8" s="2">
        <v>44711.556322129632</v>
      </c>
      <c r="B8" t="s">
        <v>26</v>
      </c>
      <c r="C8">
        <v>9.9999757969999994</v>
      </c>
      <c r="D8" s="1">
        <v>1.07056060292053E-7</v>
      </c>
      <c r="E8">
        <v>-2.1189000000000001E-4</v>
      </c>
      <c r="F8" s="1">
        <v>5.0289163842720598E-7</v>
      </c>
      <c r="G8">
        <v>1591.5</v>
      </c>
      <c r="H8">
        <v>15</v>
      </c>
      <c r="J8">
        <f t="shared" si="0"/>
        <v>9.9999759350000001</v>
      </c>
      <c r="K8" s="1">
        <f t="shared" si="1"/>
        <v>-2.4007999999999991E-4</v>
      </c>
      <c r="L8" s="3">
        <f t="shared" si="2"/>
        <v>-2.4008803449508606E-6</v>
      </c>
      <c r="M8">
        <v>10</v>
      </c>
      <c r="N8" s="5">
        <f t="shared" si="3"/>
        <v>-2.4064999999406922</v>
      </c>
      <c r="O8" s="5">
        <f t="shared" si="4"/>
        <v>-4.8333800000035696</v>
      </c>
    </row>
    <row r="9" spans="1:16" x14ac:dyDescent="0.25">
      <c r="A9" s="2">
        <v>44711.557362314816</v>
      </c>
      <c r="B9" t="s">
        <v>28</v>
      </c>
      <c r="C9">
        <v>9.9999733150000001</v>
      </c>
      <c r="D9" s="1">
        <v>8.7091905475119398E-8</v>
      </c>
      <c r="E9">
        <v>-1.7939E-4</v>
      </c>
      <c r="F9" s="1">
        <v>9.0493093659129104E-7</v>
      </c>
      <c r="G9">
        <v>1591.5</v>
      </c>
      <c r="H9">
        <v>15</v>
      </c>
      <c r="J9">
        <f t="shared" si="0"/>
        <v>9.9999734530000008</v>
      </c>
      <c r="K9" s="1">
        <f t="shared" si="1"/>
        <v>-2.0757999999999991E-4</v>
      </c>
      <c r="L9" s="3">
        <f t="shared" si="2"/>
        <v>-2.0758699837630746E-6</v>
      </c>
      <c r="M9">
        <v>10</v>
      </c>
      <c r="N9" s="5">
        <f t="shared" si="3"/>
        <v>-2.6546999999377263</v>
      </c>
      <c r="O9" s="5">
        <f t="shared" si="4"/>
        <v>-5.0815800000006037</v>
      </c>
    </row>
    <row r="10" spans="1:16" x14ac:dyDescent="0.25">
      <c r="A10" s="2">
        <v>44711.558422499998</v>
      </c>
      <c r="B10" t="s">
        <v>29</v>
      </c>
      <c r="C10">
        <v>99.999781759999905</v>
      </c>
      <c r="D10" s="1">
        <v>1.28062484691654E-7</v>
      </c>
      <c r="E10">
        <v>8.5489999999999904E-4</v>
      </c>
      <c r="F10" s="1">
        <v>1.04403065089103E-6</v>
      </c>
      <c r="G10">
        <v>1591.5</v>
      </c>
      <c r="H10">
        <v>15</v>
      </c>
      <c r="J10">
        <f t="shared" si="0"/>
        <v>99.99978189799991</v>
      </c>
      <c r="K10" s="1">
        <f t="shared" si="1"/>
        <v>8.2670999999999916E-4</v>
      </c>
      <c r="L10" s="3">
        <f t="shared" si="2"/>
        <v>8.267374801872203E-7</v>
      </c>
      <c r="M10">
        <v>100</v>
      </c>
      <c r="N10" s="5">
        <f t="shared" si="3"/>
        <v>-2.1810200009353409</v>
      </c>
      <c r="O10" s="5">
        <f t="shared" si="4"/>
        <v>-4.6079000009982183</v>
      </c>
    </row>
    <row r="11" spans="1:16" x14ac:dyDescent="0.25">
      <c r="A11" s="2">
        <v>44711.559410752314</v>
      </c>
      <c r="B11" t="s">
        <v>30</v>
      </c>
      <c r="C11">
        <v>99.999856449999996</v>
      </c>
      <c r="D11" s="1">
        <v>9.2195445264988301E-8</v>
      </c>
      <c r="E11">
        <v>9.4379999999999996E-4</v>
      </c>
      <c r="F11" s="1">
        <v>1.16619037896904E-6</v>
      </c>
      <c r="G11">
        <v>1591.5</v>
      </c>
      <c r="H11">
        <v>15</v>
      </c>
      <c r="J11">
        <f t="shared" si="0"/>
        <v>99.999856588</v>
      </c>
      <c r="K11" s="1">
        <f t="shared" si="1"/>
        <v>9.1561000000000008E-4</v>
      </c>
      <c r="L11" s="3">
        <f t="shared" si="2"/>
        <v>9.1563975136769389E-7</v>
      </c>
      <c r="M11">
        <v>100</v>
      </c>
      <c r="N11" s="5">
        <f t="shared" si="3"/>
        <v>-1.4341199999767795</v>
      </c>
      <c r="O11" s="5">
        <f t="shared" si="4"/>
        <v>-3.8610000000396569</v>
      </c>
    </row>
    <row r="12" spans="1:16" x14ac:dyDescent="0.25">
      <c r="A12" s="2">
        <v>44711.561279861111</v>
      </c>
      <c r="B12" t="s">
        <v>31</v>
      </c>
      <c r="C12">
        <v>10.000069849999999</v>
      </c>
      <c r="D12" s="1">
        <v>9.2195444301623094E-8</v>
      </c>
      <c r="E12">
        <v>8.4670999999999998E-4</v>
      </c>
      <c r="F12" s="1">
        <v>6.9921384425651995E-7</v>
      </c>
      <c r="G12">
        <v>1591.5</v>
      </c>
      <c r="H12">
        <v>15</v>
      </c>
      <c r="I12" t="s">
        <v>72</v>
      </c>
      <c r="J12">
        <f t="shared" si="0"/>
        <v>10.000069988</v>
      </c>
      <c r="K12" s="1">
        <f t="shared" si="1"/>
        <v>8.185200000000001E-4</v>
      </c>
      <c r="L12" s="3">
        <f t="shared" si="2"/>
        <v>8.1853969388474346E-6</v>
      </c>
      <c r="M12">
        <v>10</v>
      </c>
      <c r="N12" s="5">
        <f t="shared" si="3"/>
        <v>6.9987999999909789</v>
      </c>
      <c r="O12" s="5">
        <f t="shared" si="4"/>
        <v>4.5719199999281015</v>
      </c>
    </row>
    <row r="13" spans="1:16" x14ac:dyDescent="0.25">
      <c r="A13" s="2">
        <v>44711.563639872686</v>
      </c>
      <c r="B13" t="s">
        <v>33</v>
      </c>
      <c r="C13">
        <v>100.003429</v>
      </c>
      <c r="D13">
        <v>0</v>
      </c>
      <c r="E13">
        <v>6.7564000000000001E-3</v>
      </c>
      <c r="F13" s="1">
        <v>1.6852299546351701E-6</v>
      </c>
      <c r="G13">
        <v>1591.5</v>
      </c>
      <c r="H13">
        <v>15</v>
      </c>
      <c r="J13">
        <f t="shared" si="0"/>
        <v>100.003429138</v>
      </c>
      <c r="K13" s="1">
        <f t="shared" si="1"/>
        <v>6.7282100000000001E-3</v>
      </c>
      <c r="L13" s="3">
        <f t="shared" si="2"/>
        <v>6.7281882548144969E-6</v>
      </c>
      <c r="M13">
        <v>100</v>
      </c>
      <c r="N13" s="5">
        <f t="shared" si="3"/>
        <v>34.291379999995542</v>
      </c>
      <c r="O13" s="5">
        <f t="shared" si="4"/>
        <v>31.864499999932665</v>
      </c>
    </row>
    <row r="14" spans="1:16" x14ac:dyDescent="0.25">
      <c r="A14" s="2">
        <v>44711.565221874996</v>
      </c>
      <c r="B14" t="s">
        <v>34</v>
      </c>
      <c r="C14">
        <v>1000.028235</v>
      </c>
      <c r="D14" s="1">
        <v>4.9999999873762102E-6</v>
      </c>
      <c r="E14">
        <v>0.14857400000000001</v>
      </c>
      <c r="F14">
        <v>2.7999999999997201E-5</v>
      </c>
      <c r="G14">
        <v>1591.5</v>
      </c>
      <c r="H14">
        <v>1.5</v>
      </c>
      <c r="J14">
        <f t="shared" si="0"/>
        <v>1000.028235138</v>
      </c>
      <c r="K14" s="1">
        <f t="shared" si="1"/>
        <v>0.14854581</v>
      </c>
      <c r="L14" s="3">
        <f t="shared" si="2"/>
        <v>1.4854622950960077E-5</v>
      </c>
      <c r="M14">
        <v>1000</v>
      </c>
      <c r="N14" s="5">
        <f t="shared" si="3"/>
        <v>28.235138000098914</v>
      </c>
      <c r="O14" s="5">
        <f t="shared" si="4"/>
        <v>25.808258000036037</v>
      </c>
    </row>
    <row r="15" spans="1:16" x14ac:dyDescent="0.25">
      <c r="A15" s="2">
        <v>44711.567160949075</v>
      </c>
      <c r="B15" t="s">
        <v>35</v>
      </c>
      <c r="C15">
        <v>1000.012105</v>
      </c>
      <c r="D15" s="1">
        <v>4.9999999873762102E-6</v>
      </c>
      <c r="E15">
        <v>0.15316199999999999</v>
      </c>
      <c r="F15">
        <v>2.5219040425838401E-5</v>
      </c>
      <c r="G15">
        <v>1591.5</v>
      </c>
      <c r="H15">
        <v>1.5</v>
      </c>
      <c r="I15" t="s">
        <v>73</v>
      </c>
      <c r="J15">
        <f t="shared" si="0"/>
        <v>1000.012105138</v>
      </c>
      <c r="K15" s="1">
        <f t="shared" si="1"/>
        <v>0.15313380999999998</v>
      </c>
      <c r="L15" s="3">
        <f t="shared" si="2"/>
        <v>1.5313671249204513E-5</v>
      </c>
      <c r="M15">
        <v>1000</v>
      </c>
      <c r="N15" s="5">
        <f t="shared" si="3"/>
        <v>12.105137999984805</v>
      </c>
      <c r="O15" s="5">
        <f t="shared" si="4"/>
        <v>9.6782579999219287</v>
      </c>
    </row>
    <row r="16" spans="1:16" x14ac:dyDescent="0.25">
      <c r="A16" s="2">
        <v>44711.569349456018</v>
      </c>
      <c r="B16" t="s">
        <v>36</v>
      </c>
      <c r="C16">
        <v>4.9999169099999996</v>
      </c>
      <c r="D16" s="1">
        <v>9.8386991071046596E-8</v>
      </c>
      <c r="E16">
        <v>1.9832000000000001E-4</v>
      </c>
      <c r="F16" s="1">
        <v>6.0133185513491404E-7</v>
      </c>
      <c r="G16">
        <v>1591.5</v>
      </c>
      <c r="H16">
        <v>15</v>
      </c>
      <c r="I16" t="s">
        <v>74</v>
      </c>
      <c r="J16">
        <f t="shared" si="0"/>
        <v>4.9999170479999995</v>
      </c>
      <c r="K16" s="1">
        <f t="shared" si="1"/>
        <v>1.7013000000000011E-4</v>
      </c>
      <c r="L16" s="3">
        <f t="shared" si="2"/>
        <v>3.402762135651059E-6</v>
      </c>
      <c r="M16">
        <v>5</v>
      </c>
      <c r="N16" s="5">
        <f t="shared" si="3"/>
        <v>-16.590400000127126</v>
      </c>
      <c r="O16" s="5">
        <f t="shared" si="4"/>
        <v>-19.017280000190002</v>
      </c>
    </row>
    <row r="17" spans="1:15" x14ac:dyDescent="0.25">
      <c r="A17" s="2">
        <v>44711.571019490744</v>
      </c>
      <c r="B17" t="s">
        <v>38</v>
      </c>
      <c r="C17">
        <v>5.0000731809999897</v>
      </c>
      <c r="D17" s="1">
        <v>8.2758685499719398E-8</v>
      </c>
      <c r="E17">
        <v>1.4668E-4</v>
      </c>
      <c r="F17" s="1">
        <v>2.4579666393179501E-6</v>
      </c>
      <c r="G17">
        <v>1591.5</v>
      </c>
      <c r="H17">
        <v>15</v>
      </c>
      <c r="J17">
        <f t="shared" si="0"/>
        <v>5.0000733189999895</v>
      </c>
      <c r="K17" s="1">
        <f t="shared" si="1"/>
        <v>1.1849000000000009E-4</v>
      </c>
      <c r="L17" s="3">
        <f t="shared" si="2"/>
        <v>2.3698388535502E-6</v>
      </c>
      <c r="M17">
        <v>5</v>
      </c>
      <c r="N17" s="5">
        <f t="shared" si="3"/>
        <v>14.663799997816085</v>
      </c>
      <c r="O17" s="5">
        <f t="shared" si="4"/>
        <v>12.236919997753208</v>
      </c>
    </row>
    <row r="18" spans="1:15" x14ac:dyDescent="0.25">
      <c r="A18" s="2">
        <v>44711.572408472224</v>
      </c>
      <c r="B18" t="s">
        <v>40</v>
      </c>
      <c r="C18">
        <v>0.50004636699999905</v>
      </c>
      <c r="D18" s="1">
        <v>1.00004999884037E-7</v>
      </c>
      <c r="E18" s="1">
        <v>7.4439999999999999E-5</v>
      </c>
      <c r="F18" s="1">
        <v>7.5392307299883305E-7</v>
      </c>
      <c r="G18">
        <v>1591.5</v>
      </c>
      <c r="H18">
        <v>15</v>
      </c>
      <c r="I18" t="s">
        <v>74</v>
      </c>
      <c r="J18">
        <f t="shared" si="0"/>
        <v>0.50004650499999903</v>
      </c>
      <c r="K18" s="1">
        <f t="shared" si="1"/>
        <v>4.6250000000000094E-5</v>
      </c>
      <c r="L18" s="3">
        <f t="shared" si="2"/>
        <v>9.2494270095688215E-6</v>
      </c>
      <c r="M18">
        <v>0.5</v>
      </c>
      <c r="N18" s="5">
        <f t="shared" si="3"/>
        <v>93.009999998061588</v>
      </c>
      <c r="O18" s="5">
        <f t="shared" si="4"/>
        <v>90.583119997998708</v>
      </c>
    </row>
    <row r="19" spans="1:15" x14ac:dyDescent="0.25">
      <c r="A19" s="2">
        <v>44711.573908449071</v>
      </c>
      <c r="B19" t="s">
        <v>42</v>
      </c>
      <c r="C19">
        <v>1000.14983599999</v>
      </c>
      <c r="D19" s="1">
        <v>4.8989795288925697E-6</v>
      </c>
      <c r="E19">
        <v>0.141179</v>
      </c>
      <c r="F19">
        <v>3.6455452267116399E-5</v>
      </c>
      <c r="G19">
        <v>1591.5</v>
      </c>
      <c r="H19">
        <v>1.5</v>
      </c>
      <c r="I19" t="s">
        <v>75</v>
      </c>
      <c r="J19">
        <f t="shared" si="0"/>
        <v>1000.1498361379901</v>
      </c>
      <c r="K19" s="1">
        <f t="shared" si="1"/>
        <v>0.14115080999999999</v>
      </c>
      <c r="L19" s="3">
        <f t="shared" si="2"/>
        <v>1.4113404706861534E-5</v>
      </c>
      <c r="M19">
        <v>1000</v>
      </c>
      <c r="N19" s="5">
        <f t="shared" si="3"/>
        <v>149.83613799013364</v>
      </c>
      <c r="O19" s="5">
        <f t="shared" si="4"/>
        <v>147.40925799007076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9821-CA42-4E7D-A6B8-B68E0FD095D9}">
  <dimension ref="A1:P19"/>
  <sheetViews>
    <sheetView workbookViewId="0">
      <selection activeCell="J1" sqref="J1"/>
    </sheetView>
  </sheetViews>
  <sheetFormatPr defaultRowHeight="15" x14ac:dyDescent="0.25"/>
  <cols>
    <col min="1" max="1" width="18" customWidth="1"/>
    <col min="3" max="3" width="12.140625" customWidth="1"/>
    <col min="4" max="4" width="11.28515625" customWidth="1"/>
    <col min="9" max="9" width="58.85546875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-2.4141400000079658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2">
        <v>44712.461653923609</v>
      </c>
      <c r="B3" t="s">
        <v>17</v>
      </c>
      <c r="C3" s="1">
        <v>4.6600000000000002E-7</v>
      </c>
      <c r="D3" s="1">
        <v>1.1226753760548901E-7</v>
      </c>
      <c r="E3" s="1">
        <v>2.7149999999999999E-5</v>
      </c>
      <c r="F3" s="1">
        <v>6.2649820430708301E-7</v>
      </c>
      <c r="G3">
        <v>1591.5</v>
      </c>
      <c r="H3">
        <v>15</v>
      </c>
      <c r="I3" t="s">
        <v>76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2">
        <v>44712.464842256944</v>
      </c>
      <c r="B4" t="s">
        <v>21</v>
      </c>
      <c r="C4">
        <v>9.999975869</v>
      </c>
      <c r="D4" s="1">
        <v>1.3456968444077301E-7</v>
      </c>
      <c r="E4">
        <v>-9.4989999999999997E-5</v>
      </c>
      <c r="F4" s="1">
        <v>8.4787970844925796E-7</v>
      </c>
      <c r="G4">
        <v>1591.5</v>
      </c>
      <c r="H4">
        <v>15</v>
      </c>
      <c r="J4">
        <f t="shared" ref="J4:J19" si="0">C4-C$3</f>
        <v>9.9999754030000005</v>
      </c>
      <c r="K4">
        <f>E4-E$3</f>
        <v>-1.2213999999999999E-4</v>
      </c>
      <c r="L4">
        <f>K4*0.000000001/(2*PI()*J4*G4*0.000000000001)</f>
        <v>-1.2214409402403038E-6</v>
      </c>
      <c r="M4">
        <v>10</v>
      </c>
      <c r="N4">
        <f>(J4/M4-1)*1000000</f>
        <v>-2.4596999999015878</v>
      </c>
      <c r="O4">
        <f>N4+P$1</f>
        <v>-4.8738399999095536</v>
      </c>
    </row>
    <row r="5" spans="1:16" x14ac:dyDescent="0.25">
      <c r="A5" s="2">
        <v>44712.465826828702</v>
      </c>
      <c r="B5" t="s">
        <v>23</v>
      </c>
      <c r="C5">
        <v>9.9999780190000003</v>
      </c>
      <c r="D5" s="1">
        <v>8.6075548249199102E-8</v>
      </c>
      <c r="E5">
        <v>-1.9079999999999899E-5</v>
      </c>
      <c r="F5" s="1">
        <v>9.2498648638777405E-7</v>
      </c>
      <c r="G5">
        <v>1591.5</v>
      </c>
      <c r="H5">
        <v>15</v>
      </c>
      <c r="J5">
        <f t="shared" si="0"/>
        <v>9.9999775530000008</v>
      </c>
      <c r="K5">
        <f t="shared" ref="K5:K19" si="1">E5-E$3</f>
        <v>-4.6229999999999901E-5</v>
      </c>
      <c r="L5">
        <f t="shared" ref="L5:L19" si="2">K5*0.000000001/(2*PI()*J5*G5*0.000000000001)</f>
        <v>-4.6231539648625107E-7</v>
      </c>
      <c r="M5">
        <v>10</v>
      </c>
      <c r="N5">
        <f t="shared" ref="N5:N19" si="3">(J5/M5-1)*1000000</f>
        <v>-2.2446999998759765</v>
      </c>
      <c r="O5">
        <f t="shared" ref="O5:O19" si="4">N5+P$1</f>
        <v>-4.6588399998839423</v>
      </c>
    </row>
    <row r="6" spans="1:16" x14ac:dyDescent="0.25">
      <c r="A6" s="2">
        <v>44712.466975636577</v>
      </c>
      <c r="B6" t="s">
        <v>24</v>
      </c>
      <c r="C6">
        <v>99.999821879999999</v>
      </c>
      <c r="D6" s="1">
        <v>1.0770329502631999E-7</v>
      </c>
      <c r="E6">
        <v>1.7909999999999901E-3</v>
      </c>
      <c r="F6" s="1">
        <v>6.3245553203369098E-7</v>
      </c>
      <c r="G6">
        <v>1591.5</v>
      </c>
      <c r="H6">
        <v>15</v>
      </c>
      <c r="I6" t="s">
        <v>77</v>
      </c>
      <c r="J6">
        <f t="shared" si="0"/>
        <v>99.999821413999996</v>
      </c>
      <c r="K6">
        <f t="shared" si="1"/>
        <v>1.76384999999999E-3</v>
      </c>
      <c r="L6">
        <f t="shared" si="2"/>
        <v>1.7639079340865786E-6</v>
      </c>
      <c r="M6">
        <v>100</v>
      </c>
      <c r="N6">
        <f t="shared" si="3"/>
        <v>-1.7858599999920344</v>
      </c>
      <c r="O6">
        <f t="shared" si="4"/>
        <v>-4.2</v>
      </c>
    </row>
    <row r="7" spans="1:16" x14ac:dyDescent="0.25">
      <c r="A7" s="2">
        <v>44712.468242824078</v>
      </c>
      <c r="B7" t="s">
        <v>25</v>
      </c>
      <c r="C7">
        <v>99.999816499999994</v>
      </c>
      <c r="D7" s="1">
        <v>1.3416407915862699E-7</v>
      </c>
      <c r="E7">
        <v>2.1646E-3</v>
      </c>
      <c r="F7" s="1">
        <v>1.2806248474865699E-6</v>
      </c>
      <c r="G7">
        <v>1591.5</v>
      </c>
      <c r="H7">
        <v>15</v>
      </c>
      <c r="I7" t="s">
        <v>78</v>
      </c>
      <c r="J7">
        <f t="shared" si="0"/>
        <v>99.999816033999991</v>
      </c>
      <c r="K7">
        <f t="shared" si="1"/>
        <v>2.1374499999999999E-3</v>
      </c>
      <c r="L7">
        <f t="shared" si="2"/>
        <v>2.1375203200691728E-6</v>
      </c>
      <c r="M7">
        <v>100</v>
      </c>
      <c r="N7">
        <f t="shared" si="3"/>
        <v>-1.8396600001135965</v>
      </c>
      <c r="O7">
        <f t="shared" si="4"/>
        <v>-4.2538000001215623</v>
      </c>
    </row>
    <row r="8" spans="1:16" x14ac:dyDescent="0.25">
      <c r="A8" s="2">
        <v>44712.470256493056</v>
      </c>
      <c r="B8" t="s">
        <v>26</v>
      </c>
      <c r="C8">
        <v>9.9999756390000005</v>
      </c>
      <c r="D8" s="1">
        <v>1.6555663664447E-7</v>
      </c>
      <c r="E8">
        <v>-2.0185999999999899E-4</v>
      </c>
      <c r="F8" s="1">
        <v>8.3689903811631095E-7</v>
      </c>
      <c r="G8">
        <v>1591.5</v>
      </c>
      <c r="H8">
        <v>15</v>
      </c>
      <c r="J8">
        <f t="shared" si="0"/>
        <v>9.999975173000001</v>
      </c>
      <c r="K8">
        <f t="shared" si="1"/>
        <v>-2.29009999999999E-4</v>
      </c>
      <c r="L8">
        <f t="shared" si="2"/>
        <v>-2.2901768147867781E-6</v>
      </c>
      <c r="M8">
        <v>10</v>
      </c>
      <c r="N8">
        <f t="shared" si="3"/>
        <v>-2.4826999999172372</v>
      </c>
      <c r="O8">
        <f t="shared" si="4"/>
        <v>-4.896839999925203</v>
      </c>
    </row>
    <row r="9" spans="1:16" x14ac:dyDescent="0.25">
      <c r="A9" s="2">
        <v>44712.471250208335</v>
      </c>
      <c r="B9" t="s">
        <v>28</v>
      </c>
      <c r="C9">
        <v>9.9999731669999896</v>
      </c>
      <c r="D9" s="1">
        <v>1.00304536141754E-7</v>
      </c>
      <c r="E9">
        <v>-1.6134E-4</v>
      </c>
      <c r="F9" s="1">
        <v>6.7999999999999995E-7</v>
      </c>
      <c r="G9">
        <v>1591.5</v>
      </c>
      <c r="H9">
        <v>15</v>
      </c>
      <c r="J9">
        <f t="shared" si="0"/>
        <v>9.9999727009999901</v>
      </c>
      <c r="K9">
        <f t="shared" si="1"/>
        <v>-1.8849000000000001E-4</v>
      </c>
      <c r="L9">
        <f t="shared" si="2"/>
        <v>-1.8849636894878794E-6</v>
      </c>
      <c r="M9">
        <v>10</v>
      </c>
      <c r="N9">
        <f t="shared" si="3"/>
        <v>-2.729900000941754</v>
      </c>
      <c r="O9">
        <f t="shared" si="4"/>
        <v>-5.1440400009497198</v>
      </c>
    </row>
    <row r="10" spans="1:16" x14ac:dyDescent="0.25">
      <c r="A10" s="2">
        <v>44712.472259004629</v>
      </c>
      <c r="B10" t="s">
        <v>29</v>
      </c>
      <c r="C10">
        <v>99.999781110000001</v>
      </c>
      <c r="D10" s="1">
        <v>8.3066237461418694E-8</v>
      </c>
      <c r="E10">
        <v>8.7709999999999904E-4</v>
      </c>
      <c r="F10" s="1">
        <v>8.3066238629178398E-7</v>
      </c>
      <c r="G10">
        <v>1591.5</v>
      </c>
      <c r="H10">
        <v>15</v>
      </c>
      <c r="J10">
        <f t="shared" si="0"/>
        <v>99.999780643999998</v>
      </c>
      <c r="K10">
        <f t="shared" si="1"/>
        <v>8.4994999999999906E-4</v>
      </c>
      <c r="L10">
        <f t="shared" si="2"/>
        <v>8.4997826335331983E-7</v>
      </c>
      <c r="M10">
        <v>100</v>
      </c>
      <c r="N10">
        <f t="shared" si="3"/>
        <v>-2.1935599999745037</v>
      </c>
      <c r="O10">
        <f t="shared" si="4"/>
        <v>-4.6076999999824695</v>
      </c>
    </row>
    <row r="11" spans="1:16" x14ac:dyDescent="0.25">
      <c r="A11" s="2">
        <v>44712.473122060183</v>
      </c>
      <c r="B11" t="s">
        <v>30</v>
      </c>
      <c r="C11">
        <v>99.999856989999998</v>
      </c>
      <c r="D11" s="1">
        <v>5.3851649624272297E-8</v>
      </c>
      <c r="E11">
        <v>9.6609999999999903E-4</v>
      </c>
      <c r="F11" s="1">
        <v>1.13578166916004E-6</v>
      </c>
      <c r="G11">
        <v>1591.5</v>
      </c>
      <c r="H11">
        <v>15</v>
      </c>
      <c r="J11">
        <f t="shared" si="0"/>
        <v>99.999856523999995</v>
      </c>
      <c r="K11">
        <f t="shared" si="1"/>
        <v>9.3894999999999905E-4</v>
      </c>
      <c r="L11">
        <f t="shared" si="2"/>
        <v>9.3898051036678237E-7</v>
      </c>
      <c r="M11">
        <v>100</v>
      </c>
      <c r="N11">
        <f t="shared" si="3"/>
        <v>-1.4347600000297334</v>
      </c>
      <c r="O11">
        <f t="shared" si="4"/>
        <v>-3.8489000000376992</v>
      </c>
    </row>
    <row r="12" spans="1:16" x14ac:dyDescent="0.25">
      <c r="A12" s="2">
        <v>44712.475729224534</v>
      </c>
      <c r="B12" t="s">
        <v>31</v>
      </c>
      <c r="C12">
        <v>10.00021061</v>
      </c>
      <c r="D12" s="1">
        <v>9.4339811368586902E-8</v>
      </c>
      <c r="E12">
        <v>8.6933999999999905E-4</v>
      </c>
      <c r="F12" s="1">
        <v>1.1092339699089599E-6</v>
      </c>
      <c r="G12">
        <v>1591.5</v>
      </c>
      <c r="H12">
        <v>15</v>
      </c>
      <c r="I12" t="s">
        <v>79</v>
      </c>
      <c r="J12">
        <f t="shared" si="0"/>
        <v>10.000210144</v>
      </c>
      <c r="K12">
        <f t="shared" si="1"/>
        <v>8.4218999999999906E-4</v>
      </c>
      <c r="L12">
        <f t="shared" si="2"/>
        <v>8.4219845955931409E-6</v>
      </c>
      <c r="M12">
        <v>10</v>
      </c>
      <c r="N12">
        <f t="shared" si="3"/>
        <v>21.014400000129996</v>
      </c>
      <c r="O12">
        <f t="shared" si="4"/>
        <v>18.600260000122031</v>
      </c>
    </row>
    <row r="13" spans="1:16" x14ac:dyDescent="0.25">
      <c r="A13" s="2">
        <v>44712.478559629628</v>
      </c>
      <c r="B13" t="s">
        <v>33</v>
      </c>
      <c r="C13">
        <v>100.004091</v>
      </c>
      <c r="D13">
        <v>0</v>
      </c>
      <c r="E13">
        <v>7.1301999999999997E-3</v>
      </c>
      <c r="F13" s="1">
        <v>2.0099751242241001E-6</v>
      </c>
      <c r="G13">
        <v>1591.5</v>
      </c>
      <c r="H13">
        <v>15</v>
      </c>
      <c r="I13" t="s">
        <v>80</v>
      </c>
      <c r="J13">
        <f t="shared" si="0"/>
        <v>100.004090534</v>
      </c>
      <c r="K13">
        <f t="shared" si="1"/>
        <v>7.1030499999999996E-3</v>
      </c>
      <c r="L13">
        <f t="shared" si="2"/>
        <v>7.1029800661381755E-6</v>
      </c>
      <c r="M13">
        <v>100</v>
      </c>
      <c r="N13">
        <f t="shared" si="3"/>
        <v>40.905339999897095</v>
      </c>
      <c r="O13">
        <f t="shared" si="4"/>
        <v>38.491199999889126</v>
      </c>
    </row>
    <row r="14" spans="1:16" x14ac:dyDescent="0.25">
      <c r="A14" s="2">
        <v>44712.480559143522</v>
      </c>
      <c r="B14" t="s">
        <v>34</v>
      </c>
      <c r="C14">
        <v>1000.03242899999</v>
      </c>
      <c r="D14" s="1">
        <v>2.9999999924257298E-6</v>
      </c>
      <c r="E14">
        <v>0.15985199999999999</v>
      </c>
      <c r="F14">
        <v>2.2715633383203499E-5</v>
      </c>
      <c r="G14">
        <v>1591.5</v>
      </c>
      <c r="H14">
        <v>1.5</v>
      </c>
      <c r="J14">
        <f t="shared" si="0"/>
        <v>1000.03242853399</v>
      </c>
      <c r="K14">
        <f t="shared" si="1"/>
        <v>0.15982484999999999</v>
      </c>
      <c r="L14">
        <f t="shared" si="2"/>
        <v>1.5982463117379773E-5</v>
      </c>
      <c r="M14">
        <v>1000</v>
      </c>
      <c r="N14">
        <f t="shared" si="3"/>
        <v>32.428533990103148</v>
      </c>
      <c r="O14">
        <f t="shared" si="4"/>
        <v>30.014393990095183</v>
      </c>
    </row>
    <row r="15" spans="1:16" x14ac:dyDescent="0.25">
      <c r="A15" s="2">
        <v>44712.482315474539</v>
      </c>
      <c r="B15" t="s">
        <v>35</v>
      </c>
      <c r="C15">
        <v>1000.01549499999</v>
      </c>
      <c r="D15" s="1">
        <v>1.59201130641137E-4</v>
      </c>
      <c r="E15">
        <v>0.164378</v>
      </c>
      <c r="F15">
        <v>1.4891608375189601E-4</v>
      </c>
      <c r="G15">
        <v>1591.5</v>
      </c>
      <c r="H15">
        <v>1.5</v>
      </c>
      <c r="J15">
        <f t="shared" si="0"/>
        <v>1000.01549453399</v>
      </c>
      <c r="K15">
        <f t="shared" si="1"/>
        <v>0.16435084999999999</v>
      </c>
      <c r="L15">
        <f t="shared" si="2"/>
        <v>1.6435340804732892E-5</v>
      </c>
      <c r="M15">
        <v>1000</v>
      </c>
      <c r="N15">
        <f t="shared" si="3"/>
        <v>15.494533990079162</v>
      </c>
      <c r="O15">
        <f t="shared" si="4"/>
        <v>13.080393990071197</v>
      </c>
    </row>
    <row r="16" spans="1:16" x14ac:dyDescent="0.25">
      <c r="A16" s="2">
        <v>44712.483725347221</v>
      </c>
      <c r="B16" t="s">
        <v>36</v>
      </c>
      <c r="C16">
        <v>4.9999399779999996</v>
      </c>
      <c r="D16" s="1">
        <v>8.3522452197465995E-8</v>
      </c>
      <c r="E16">
        <v>2.1248E-4</v>
      </c>
      <c r="F16" s="1">
        <v>1.02547549946353E-6</v>
      </c>
      <c r="G16">
        <v>1591.5</v>
      </c>
      <c r="H16">
        <v>15</v>
      </c>
      <c r="I16" t="s">
        <v>81</v>
      </c>
      <c r="J16">
        <f t="shared" si="0"/>
        <v>4.9999395119999992</v>
      </c>
      <c r="K16">
        <f t="shared" si="1"/>
        <v>1.8532999999999999E-4</v>
      </c>
      <c r="L16">
        <f t="shared" si="2"/>
        <v>3.7067599674009176E-6</v>
      </c>
      <c r="M16">
        <v>5</v>
      </c>
      <c r="N16">
        <f t="shared" si="3"/>
        <v>-12.097600000204878</v>
      </c>
      <c r="O16">
        <f t="shared" si="4"/>
        <v>-14.511740000212843</v>
      </c>
    </row>
    <row r="17" spans="1:15" x14ac:dyDescent="0.25">
      <c r="A17" s="2">
        <v>44712.485418796299</v>
      </c>
      <c r="B17" t="s">
        <v>38</v>
      </c>
      <c r="C17">
        <v>5.0000911520000004</v>
      </c>
      <c r="D17" s="1">
        <v>5.7061370460170398E-8</v>
      </c>
      <c r="E17">
        <v>1.8018999999999999E-4</v>
      </c>
      <c r="F17" s="1">
        <v>1.23891081196347E-6</v>
      </c>
      <c r="G17">
        <v>1591.5</v>
      </c>
      <c r="H17">
        <v>15</v>
      </c>
      <c r="J17">
        <f t="shared" si="0"/>
        <v>5.0000906860000001</v>
      </c>
      <c r="K17">
        <f t="shared" si="1"/>
        <v>1.5303999999999998E-4</v>
      </c>
      <c r="L17">
        <f t="shared" si="2"/>
        <v>3.0608395513290346E-6</v>
      </c>
      <c r="M17">
        <v>5</v>
      </c>
      <c r="N17">
        <f t="shared" si="3"/>
        <v>18.137200000101217</v>
      </c>
      <c r="O17">
        <f t="shared" si="4"/>
        <v>15.723060000093252</v>
      </c>
    </row>
    <row r="18" spans="1:15" x14ac:dyDescent="0.25">
      <c r="A18" s="2">
        <v>44712.486555740739</v>
      </c>
      <c r="B18" t="s">
        <v>40</v>
      </c>
      <c r="C18">
        <v>0.50004923899999998</v>
      </c>
      <c r="D18" s="1">
        <v>8.5258430675321005E-8</v>
      </c>
      <c r="E18" s="1">
        <v>7.3919999999999997E-5</v>
      </c>
      <c r="F18" s="1">
        <v>8.4593143930226099E-7</v>
      </c>
      <c r="G18">
        <v>1591.5</v>
      </c>
      <c r="H18">
        <v>15</v>
      </c>
      <c r="J18">
        <f t="shared" si="0"/>
        <v>0.50004877299999995</v>
      </c>
      <c r="K18">
        <f t="shared" si="1"/>
        <v>4.6770000000000001E-5</v>
      </c>
      <c r="L18">
        <f t="shared" si="2"/>
        <v>9.3533781443204881E-6</v>
      </c>
      <c r="M18">
        <v>0.5</v>
      </c>
      <c r="N18">
        <f t="shared" si="3"/>
        <v>97.545999999892885</v>
      </c>
      <c r="O18">
        <f t="shared" si="4"/>
        <v>95.131859999884924</v>
      </c>
    </row>
    <row r="19" spans="1:15" x14ac:dyDescent="0.25">
      <c r="A19" s="2">
        <v>44712.488321435187</v>
      </c>
      <c r="B19" t="s">
        <v>42</v>
      </c>
      <c r="C19">
        <v>1000.148381</v>
      </c>
      <c r="D19" s="1">
        <v>2.9999999924257298E-6</v>
      </c>
      <c r="E19">
        <v>0.131797</v>
      </c>
      <c r="F19">
        <v>1.2353542002195201E-4</v>
      </c>
      <c r="G19">
        <v>1591.5</v>
      </c>
      <c r="H19">
        <v>1.5</v>
      </c>
      <c r="I19" t="s">
        <v>82</v>
      </c>
      <c r="J19">
        <f t="shared" si="0"/>
        <v>1000.148380534</v>
      </c>
      <c r="K19">
        <f t="shared" si="1"/>
        <v>0.13176984999999999</v>
      </c>
      <c r="L19">
        <f t="shared" si="2"/>
        <v>1.3175439289568792E-5</v>
      </c>
      <c r="M19">
        <v>1000</v>
      </c>
      <c r="N19">
        <f t="shared" si="3"/>
        <v>148.38053399990338</v>
      </c>
      <c r="O19">
        <f t="shared" si="4"/>
        <v>145.96639399989542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0918-FD73-4C92-9006-A9C9711F4BE1}">
  <dimension ref="A1:P19"/>
  <sheetViews>
    <sheetView workbookViewId="0">
      <selection activeCell="I1" sqref="I1"/>
    </sheetView>
  </sheetViews>
  <sheetFormatPr defaultRowHeight="15" x14ac:dyDescent="0.25"/>
  <cols>
    <col min="1" max="1" width="15.28515625" customWidth="1"/>
    <col min="9" max="9" width="5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-2.4167900001162055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2">
        <v>44714.476380185188</v>
      </c>
      <c r="B3" t="s">
        <v>17</v>
      </c>
      <c r="C3" s="1">
        <v>-2.3900000000000001E-7</v>
      </c>
      <c r="D3" s="1">
        <v>8.1541400527584699E-8</v>
      </c>
      <c r="E3" s="1">
        <v>2.67199999999999E-5</v>
      </c>
      <c r="F3" s="1">
        <v>9.3359520135870395E-7</v>
      </c>
      <c r="G3">
        <v>1591.5</v>
      </c>
      <c r="H3">
        <v>15</v>
      </c>
      <c r="I3" t="s">
        <v>83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2">
        <v>44714.478427407405</v>
      </c>
      <c r="B4" t="s">
        <v>21</v>
      </c>
      <c r="C4">
        <v>9.9999756430000009</v>
      </c>
      <c r="D4" s="1">
        <v>6.5886265669721906E-8</v>
      </c>
      <c r="E4">
        <v>-1.2229E-4</v>
      </c>
      <c r="F4" s="1">
        <v>1.0454185764563401E-6</v>
      </c>
      <c r="G4">
        <v>1591.5</v>
      </c>
      <c r="H4">
        <v>15</v>
      </c>
      <c r="J4">
        <f t="shared" ref="J4:J19" si="0">C4-C$3</f>
        <v>9.9999758820000011</v>
      </c>
      <c r="K4">
        <f>E4-E$3</f>
        <v>-1.490099999999999E-4</v>
      </c>
      <c r="L4">
        <f>K4*0.000000001/(2*PI()*J4*G4*0.000000000001)</f>
        <v>-1.4901498754466622E-6</v>
      </c>
      <c r="M4">
        <v>10</v>
      </c>
      <c r="N4">
        <f>(J4/M4-1)*1000000</f>
        <v>-2.4117999999351269</v>
      </c>
      <c r="O4">
        <f>N4+P$1</f>
        <v>-4.8285900000513324</v>
      </c>
    </row>
    <row r="5" spans="1:16" x14ac:dyDescent="0.25">
      <c r="A5" s="2">
        <v>44714.479658587959</v>
      </c>
      <c r="B5" t="s">
        <v>23</v>
      </c>
      <c r="C5">
        <v>9.9999776499999999</v>
      </c>
      <c r="D5" s="1">
        <v>8.5556998398580296E-8</v>
      </c>
      <c r="E5">
        <v>-4.7859999999999999E-5</v>
      </c>
      <c r="F5" s="1">
        <v>7.4859869088851599E-7</v>
      </c>
      <c r="G5">
        <v>1591.5</v>
      </c>
      <c r="H5">
        <v>15</v>
      </c>
      <c r="J5">
        <f t="shared" si="0"/>
        <v>9.9999778890000002</v>
      </c>
      <c r="K5">
        <f t="shared" ref="K5:K19" si="1">E5-E$3</f>
        <v>-7.4579999999999899E-5</v>
      </c>
      <c r="L5">
        <f t="shared" ref="L5:L19" si="2">K5*0.000000001/(2*PI()*J5*G5*0.000000000001)</f>
        <v>-7.4582481313933547E-7</v>
      </c>
      <c r="M5">
        <v>10</v>
      </c>
      <c r="N5">
        <f t="shared" ref="N5:N19" si="3">(J5/M5-1)*1000000</f>
        <v>-2.2110999999824799</v>
      </c>
      <c r="O5">
        <f t="shared" ref="O5:O19" si="4">N5+P$1</f>
        <v>-4.6278900000986853</v>
      </c>
    </row>
    <row r="6" spans="1:16" x14ac:dyDescent="0.25">
      <c r="A6" s="2">
        <v>44714.480611458333</v>
      </c>
      <c r="B6" t="s">
        <v>24</v>
      </c>
      <c r="C6">
        <v>99.999821440000005</v>
      </c>
      <c r="D6" s="1">
        <v>6.6332494868382896E-8</v>
      </c>
      <c r="E6">
        <v>1.7713E-3</v>
      </c>
      <c r="F6" s="1">
        <v>8.9999999999992404E-7</v>
      </c>
      <c r="G6">
        <v>1591.5</v>
      </c>
      <c r="H6">
        <v>15</v>
      </c>
      <c r="J6">
        <f t="shared" si="0"/>
        <v>99.999821679000007</v>
      </c>
      <c r="K6">
        <f t="shared" si="1"/>
        <v>1.7445800000000001E-3</v>
      </c>
      <c r="L6">
        <f t="shared" si="2"/>
        <v>1.7446372965354074E-6</v>
      </c>
      <c r="M6">
        <v>100</v>
      </c>
      <c r="N6">
        <f t="shared" si="3"/>
        <v>-1.7832099998837947</v>
      </c>
      <c r="O6">
        <f t="shared" si="4"/>
        <v>-4.2</v>
      </c>
    </row>
    <row r="7" spans="1:16" x14ac:dyDescent="0.25">
      <c r="A7" s="2">
        <v>44714.481975381947</v>
      </c>
      <c r="B7" t="s">
        <v>25</v>
      </c>
      <c r="C7">
        <v>99.999816170000003</v>
      </c>
      <c r="D7" s="1">
        <v>1.00498755900912E-7</v>
      </c>
      <c r="E7">
        <v>2.1451E-3</v>
      </c>
      <c r="F7" s="1">
        <v>6.9999999999992501E-7</v>
      </c>
      <c r="G7">
        <v>1591.5</v>
      </c>
      <c r="H7">
        <v>15</v>
      </c>
      <c r="I7" t="s">
        <v>84</v>
      </c>
      <c r="J7">
        <f t="shared" si="0"/>
        <v>99.999816409000005</v>
      </c>
      <c r="K7">
        <f t="shared" si="1"/>
        <v>2.11838E-3</v>
      </c>
      <c r="L7">
        <f t="shared" si="2"/>
        <v>2.118449684740135E-6</v>
      </c>
      <c r="M7">
        <v>100</v>
      </c>
      <c r="N7">
        <f t="shared" si="3"/>
        <v>-1.8359099999143424</v>
      </c>
      <c r="O7">
        <f t="shared" si="4"/>
        <v>-4.2527000000305479</v>
      </c>
    </row>
    <row r="8" spans="1:16" x14ac:dyDescent="0.25">
      <c r="A8" s="2">
        <v>44714.48415462963</v>
      </c>
      <c r="B8" t="s">
        <v>26</v>
      </c>
      <c r="C8">
        <v>9.999975418</v>
      </c>
      <c r="D8" s="1">
        <v>9.2606695357722298E-8</v>
      </c>
      <c r="E8">
        <v>-2.2195E-4</v>
      </c>
      <c r="F8" s="1">
        <v>9.3834961501564297E-7</v>
      </c>
      <c r="G8">
        <v>1591.5</v>
      </c>
      <c r="H8">
        <v>15</v>
      </c>
      <c r="J8">
        <f t="shared" si="0"/>
        <v>9.9999756570000002</v>
      </c>
      <c r="K8">
        <f t="shared" si="1"/>
        <v>-2.4866999999999988E-4</v>
      </c>
      <c r="L8">
        <f t="shared" si="2"/>
        <v>-2.4867832888050612E-6</v>
      </c>
      <c r="M8">
        <v>10</v>
      </c>
      <c r="N8">
        <f t="shared" si="3"/>
        <v>-2.4343000000204285</v>
      </c>
      <c r="O8">
        <f t="shared" si="4"/>
        <v>-4.8510900001366339</v>
      </c>
    </row>
    <row r="9" spans="1:16" x14ac:dyDescent="0.25">
      <c r="A9" s="2">
        <v>44714.485930451388</v>
      </c>
      <c r="B9" t="s">
        <v>28</v>
      </c>
      <c r="C9">
        <v>9.9999727519999997</v>
      </c>
      <c r="D9" s="1">
        <v>7.1944423100374593E-8</v>
      </c>
      <c r="E9">
        <v>-1.8832000000000001E-4</v>
      </c>
      <c r="F9" s="1">
        <v>1.58227684050547E-6</v>
      </c>
      <c r="G9">
        <v>1591.5</v>
      </c>
      <c r="H9">
        <v>15</v>
      </c>
      <c r="J9">
        <f t="shared" si="0"/>
        <v>9.9999729909999999</v>
      </c>
      <c r="K9">
        <f t="shared" si="1"/>
        <v>-2.1503999999999992E-4</v>
      </c>
      <c r="L9">
        <f t="shared" si="2"/>
        <v>-2.1504725981882653E-6</v>
      </c>
      <c r="M9">
        <v>10</v>
      </c>
      <c r="N9">
        <f t="shared" si="3"/>
        <v>-2.7008999999855732</v>
      </c>
      <c r="O9">
        <f t="shared" si="4"/>
        <v>-5.1176900001017787</v>
      </c>
    </row>
    <row r="10" spans="1:16" x14ac:dyDescent="0.25">
      <c r="A10" s="2">
        <v>44714.48744297454</v>
      </c>
      <c r="B10" t="s">
        <v>29</v>
      </c>
      <c r="C10">
        <v>99.999780610000002</v>
      </c>
      <c r="D10" s="1">
        <v>1.2206555438226099E-7</v>
      </c>
      <c r="E10">
        <v>8.5479999999999996E-4</v>
      </c>
      <c r="F10" s="1">
        <v>1.1661903789690499E-6</v>
      </c>
      <c r="G10">
        <v>1591.5</v>
      </c>
      <c r="H10">
        <v>15</v>
      </c>
      <c r="J10">
        <f t="shared" si="0"/>
        <v>99.999780849000004</v>
      </c>
      <c r="K10">
        <f t="shared" si="1"/>
        <v>8.2808000000000003E-4</v>
      </c>
      <c r="L10">
        <f t="shared" si="2"/>
        <v>8.2810753441346216E-7</v>
      </c>
      <c r="M10">
        <v>100</v>
      </c>
      <c r="N10">
        <f t="shared" si="3"/>
        <v>-2.1915099999159082</v>
      </c>
      <c r="O10">
        <f t="shared" si="4"/>
        <v>-4.6083000000321137</v>
      </c>
    </row>
    <row r="11" spans="1:16" x14ac:dyDescent="0.25">
      <c r="A11" s="2">
        <v>44714.488985821758</v>
      </c>
      <c r="B11" t="s">
        <v>30</v>
      </c>
      <c r="C11">
        <v>99.999856910000005</v>
      </c>
      <c r="D11" s="1">
        <v>1.2206555775843601E-7</v>
      </c>
      <c r="E11">
        <v>9.4709999999999998E-4</v>
      </c>
      <c r="F11" s="1">
        <v>9.4339811320564105E-7</v>
      </c>
      <c r="G11">
        <v>1591.5</v>
      </c>
      <c r="H11">
        <v>15</v>
      </c>
      <c r="J11">
        <f t="shared" si="0"/>
        <v>99.999857149000007</v>
      </c>
      <c r="K11">
        <f t="shared" si="1"/>
        <v>9.2038000000000005E-4</v>
      </c>
      <c r="L11">
        <f t="shared" si="2"/>
        <v>9.2040990119815153E-7</v>
      </c>
      <c r="M11">
        <v>100</v>
      </c>
      <c r="N11">
        <f t="shared" si="3"/>
        <v>-1.4285099999566953</v>
      </c>
      <c r="O11">
        <f t="shared" si="4"/>
        <v>-3.8453000000729007</v>
      </c>
    </row>
    <row r="12" spans="1:16" x14ac:dyDescent="0.25">
      <c r="A12" s="2">
        <v>44714.491028761571</v>
      </c>
      <c r="B12" t="s">
        <v>31</v>
      </c>
      <c r="C12">
        <v>10.000213349999999</v>
      </c>
      <c r="D12" s="1">
        <v>1.3601470497903001E-7</v>
      </c>
      <c r="E12">
        <v>9.0647000000000004E-4</v>
      </c>
      <c r="F12" s="1">
        <v>7.6426435217141798E-7</v>
      </c>
      <c r="G12">
        <v>1591.5</v>
      </c>
      <c r="H12">
        <v>15</v>
      </c>
      <c r="I12" t="s">
        <v>85</v>
      </c>
      <c r="J12">
        <f t="shared" si="0"/>
        <v>10.000213588999999</v>
      </c>
      <c r="K12">
        <f t="shared" si="1"/>
        <v>8.7975000000000011E-4</v>
      </c>
      <c r="L12">
        <f t="shared" si="2"/>
        <v>8.7975853376839985E-6</v>
      </c>
      <c r="M12">
        <v>10</v>
      </c>
      <c r="N12">
        <f t="shared" si="3"/>
        <v>21.3588999999903</v>
      </c>
      <c r="O12">
        <f t="shared" si="4"/>
        <v>18.942109999874095</v>
      </c>
    </row>
    <row r="13" spans="1:16" x14ac:dyDescent="0.25">
      <c r="A13" s="2">
        <v>44714.493417858794</v>
      </c>
      <c r="B13" t="s">
        <v>33</v>
      </c>
      <c r="C13">
        <v>100.004104</v>
      </c>
      <c r="D13">
        <v>0</v>
      </c>
      <c r="E13">
        <v>7.6045000000000001E-3</v>
      </c>
      <c r="F13" s="1">
        <v>1.79164728671696E-6</v>
      </c>
      <c r="G13">
        <v>1591.5</v>
      </c>
      <c r="H13">
        <v>15</v>
      </c>
      <c r="J13">
        <f t="shared" si="0"/>
        <v>100.004104239</v>
      </c>
      <c r="K13">
        <f t="shared" si="1"/>
        <v>7.5777800000000001E-3</v>
      </c>
      <c r="L13">
        <f t="shared" si="2"/>
        <v>7.5777043536497254E-6</v>
      </c>
      <c r="M13">
        <v>100</v>
      </c>
      <c r="N13">
        <f t="shared" si="3"/>
        <v>41.042389999912388</v>
      </c>
      <c r="O13">
        <f t="shared" si="4"/>
        <v>38.625599999796179</v>
      </c>
    </row>
    <row r="14" spans="1:16" x14ac:dyDescent="0.25">
      <c r="A14" s="2">
        <v>44714.494477974535</v>
      </c>
      <c r="B14" t="s">
        <v>34</v>
      </c>
      <c r="C14">
        <v>1000.03256799999</v>
      </c>
      <c r="D14" s="1">
        <v>3.99999998990097E-6</v>
      </c>
      <c r="E14">
        <v>0.16948299999999999</v>
      </c>
      <c r="F14">
        <v>3.6345563690772199E-5</v>
      </c>
      <c r="G14">
        <v>1591.5</v>
      </c>
      <c r="H14">
        <v>1.5</v>
      </c>
      <c r="J14">
        <f t="shared" si="0"/>
        <v>1000.0325682389899</v>
      </c>
      <c r="K14">
        <f t="shared" si="1"/>
        <v>0.16945627999999999</v>
      </c>
      <c r="L14">
        <f t="shared" si="2"/>
        <v>1.6945602431371808E-5</v>
      </c>
      <c r="M14">
        <v>1000</v>
      </c>
      <c r="N14">
        <f t="shared" si="3"/>
        <v>32.568238989894027</v>
      </c>
      <c r="O14">
        <f t="shared" si="4"/>
        <v>30.151448989777823</v>
      </c>
    </row>
    <row r="15" spans="1:16" x14ac:dyDescent="0.25">
      <c r="A15" s="2">
        <v>44714.49571077546</v>
      </c>
      <c r="B15" t="s">
        <v>35</v>
      </c>
      <c r="C15">
        <v>1000.01643</v>
      </c>
      <c r="D15" s="1">
        <v>0</v>
      </c>
      <c r="E15">
        <v>0.17241400000000001</v>
      </c>
      <c r="F15">
        <v>3.35261092284752E-5</v>
      </c>
      <c r="G15">
        <v>1591.5</v>
      </c>
      <c r="H15">
        <v>1.5</v>
      </c>
      <c r="J15">
        <f t="shared" si="0"/>
        <v>1000.016430239</v>
      </c>
      <c r="K15">
        <f t="shared" si="1"/>
        <v>0.17238728</v>
      </c>
      <c r="L15">
        <f t="shared" si="2"/>
        <v>1.7238980182725855E-5</v>
      </c>
      <c r="M15">
        <v>1000</v>
      </c>
      <c r="N15">
        <f t="shared" si="3"/>
        <v>16.430238999998181</v>
      </c>
      <c r="O15">
        <f t="shared" si="4"/>
        <v>14.013448999881977</v>
      </c>
    </row>
    <row r="16" spans="1:16" x14ac:dyDescent="0.25">
      <c r="A16" s="2">
        <v>44714.497169710645</v>
      </c>
      <c r="B16" t="s">
        <v>36</v>
      </c>
      <c r="C16">
        <v>4.9999465059999997</v>
      </c>
      <c r="D16" s="1">
        <v>6.20000000586907E-8</v>
      </c>
      <c r="E16">
        <v>2.2512000000000001E-4</v>
      </c>
      <c r="F16" s="1">
        <v>7.6262703859750397E-7</v>
      </c>
      <c r="G16">
        <v>1591.5</v>
      </c>
      <c r="H16">
        <v>15</v>
      </c>
      <c r="J16">
        <f t="shared" si="0"/>
        <v>4.9999467449999999</v>
      </c>
      <c r="K16">
        <f t="shared" si="1"/>
        <v>1.9840000000000011E-4</v>
      </c>
      <c r="L16">
        <f t="shared" si="2"/>
        <v>3.9681655083404499E-6</v>
      </c>
      <c r="M16">
        <v>5</v>
      </c>
      <c r="N16">
        <f t="shared" si="3"/>
        <v>-10.650999999972655</v>
      </c>
      <c r="O16">
        <f t="shared" si="4"/>
        <v>-13.067790000088859</v>
      </c>
    </row>
    <row r="17" spans="1:15" x14ac:dyDescent="0.25">
      <c r="A17" s="2">
        <v>44714.498693125002</v>
      </c>
      <c r="B17" t="s">
        <v>38</v>
      </c>
      <c r="C17">
        <v>5.0000951980000004</v>
      </c>
      <c r="D17" s="1">
        <v>7.9849859157107706E-8</v>
      </c>
      <c r="E17">
        <v>1.0399999999999999E-4</v>
      </c>
      <c r="F17" s="1">
        <v>1.6774981371077499E-6</v>
      </c>
      <c r="G17">
        <v>1591.5</v>
      </c>
      <c r="H17">
        <v>15</v>
      </c>
      <c r="I17" t="s">
        <v>86</v>
      </c>
      <c r="J17">
        <f t="shared" si="0"/>
        <v>5.0000954370000006</v>
      </c>
      <c r="K17">
        <f t="shared" si="1"/>
        <v>7.72800000000001E-5</v>
      </c>
      <c r="L17">
        <f t="shared" si="2"/>
        <v>1.5456185034572222E-6</v>
      </c>
      <c r="M17">
        <v>5</v>
      </c>
      <c r="N17">
        <f t="shared" si="3"/>
        <v>19.087400000117327</v>
      </c>
      <c r="O17">
        <f t="shared" si="4"/>
        <v>16.670610000001123</v>
      </c>
    </row>
    <row r="18" spans="1:15" x14ac:dyDescent="0.25">
      <c r="A18" s="2">
        <v>44714.500325891204</v>
      </c>
      <c r="B18" t="s">
        <v>40</v>
      </c>
      <c r="C18">
        <v>0.50004995799999996</v>
      </c>
      <c r="D18" s="1">
        <v>8.9084229819457196E-8</v>
      </c>
      <c r="E18" s="1">
        <v>7.6500000000000003E-5</v>
      </c>
      <c r="F18" s="1">
        <v>8.5088189544730502E-7</v>
      </c>
      <c r="G18">
        <v>1591.5</v>
      </c>
      <c r="H18">
        <v>15</v>
      </c>
      <c r="J18">
        <f t="shared" si="0"/>
        <v>0.50005019699999997</v>
      </c>
      <c r="K18">
        <f t="shared" si="1"/>
        <v>4.9780000000000103E-5</v>
      </c>
      <c r="L18">
        <f t="shared" si="2"/>
        <v>9.9553097732904577E-6</v>
      </c>
      <c r="M18">
        <v>0.5</v>
      </c>
      <c r="N18">
        <f t="shared" si="3"/>
        <v>100.39399999994814</v>
      </c>
      <c r="O18">
        <f t="shared" si="4"/>
        <v>97.977209999831928</v>
      </c>
    </row>
    <row r="19" spans="1:15" x14ac:dyDescent="0.25">
      <c r="A19" s="2">
        <v>44714.501670833335</v>
      </c>
      <c r="B19" t="s">
        <v>42</v>
      </c>
      <c r="C19">
        <v>1000.14439199999</v>
      </c>
      <c r="D19" s="1">
        <v>3.99999998990097E-6</v>
      </c>
      <c r="E19">
        <v>0.14962700000000001</v>
      </c>
      <c r="F19">
        <v>4.7759815745035602E-5</v>
      </c>
      <c r="G19">
        <v>1591.5</v>
      </c>
      <c r="H19">
        <v>1.5</v>
      </c>
      <c r="I19" t="s">
        <v>87</v>
      </c>
      <c r="J19">
        <f t="shared" si="0"/>
        <v>1000.14439223899</v>
      </c>
      <c r="K19">
        <f t="shared" si="1"/>
        <v>0.14960028</v>
      </c>
      <c r="L19">
        <f t="shared" si="2"/>
        <v>1.4958332781240049E-5</v>
      </c>
      <c r="M19">
        <v>1000</v>
      </c>
      <c r="N19">
        <f t="shared" si="3"/>
        <v>144.39223899009869</v>
      </c>
      <c r="O19">
        <f t="shared" si="4"/>
        <v>141.97544898998248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5F0A-97C5-4D54-A3BC-0337D0F65B41}">
  <dimension ref="A1:P30"/>
  <sheetViews>
    <sheetView topLeftCell="A7" workbookViewId="0">
      <selection activeCell="I12" sqref="I12"/>
    </sheetView>
  </sheetViews>
  <sheetFormatPr defaultRowHeight="15" x14ac:dyDescent="0.25"/>
  <cols>
    <col min="1" max="1" width="15.28515625" customWidth="1"/>
    <col min="9" max="9" width="5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-2.392640000116427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9">
        <v>44732.570693495371</v>
      </c>
      <c r="B3" t="s">
        <v>17</v>
      </c>
      <c r="C3" s="1">
        <v>1.4759999999999999E-6</v>
      </c>
      <c r="D3" s="1">
        <v>7.1021123618258805E-8</v>
      </c>
      <c r="E3" s="1">
        <v>2.6469999999999999E-5</v>
      </c>
      <c r="F3" s="1">
        <v>6.9433421347359696E-7</v>
      </c>
      <c r="G3">
        <v>1591.5</v>
      </c>
      <c r="H3">
        <v>15</v>
      </c>
      <c r="I3" t="s">
        <v>88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9">
        <v>44732.571924293981</v>
      </c>
      <c r="B4" t="s">
        <v>21</v>
      </c>
      <c r="C4">
        <v>9.9999755279999896</v>
      </c>
      <c r="D4" s="1">
        <v>1.16258333058467E-7</v>
      </c>
      <c r="E4">
        <v>-1.4475999999999999E-4</v>
      </c>
      <c r="F4" s="1">
        <v>9.5519631490076401E-7</v>
      </c>
      <c r="G4">
        <v>1591.5</v>
      </c>
      <c r="H4">
        <v>15</v>
      </c>
      <c r="J4">
        <f t="shared" ref="J4:J19" si="0">C4-C$3</f>
        <v>9.99997405199999</v>
      </c>
      <c r="K4">
        <f>E4-E$3</f>
        <v>-1.7123E-4</v>
      </c>
      <c r="L4">
        <f>K4*0.000000001/(2*PI()*J4*G4*0.000000000001)</f>
        <v>-1.7123576261112276E-6</v>
      </c>
      <c r="M4">
        <v>10</v>
      </c>
      <c r="N4">
        <f>(J4/M4-1)*1000000</f>
        <v>-2.5948000009767824</v>
      </c>
      <c r="O4">
        <f>N4+P$1</f>
        <v>-4.9874400010932094</v>
      </c>
    </row>
    <row r="5" spans="1:16" x14ac:dyDescent="0.25">
      <c r="A5" s="9">
        <v>44732.573930740742</v>
      </c>
      <c r="B5" t="s">
        <v>23</v>
      </c>
      <c r="C5">
        <v>9.9999780400000002</v>
      </c>
      <c r="D5" s="1">
        <v>1.1610340229487299E-7</v>
      </c>
      <c r="E5">
        <v>-1.0844999999999999E-4</v>
      </c>
      <c r="F5" s="1">
        <v>1.02786185842262E-6</v>
      </c>
      <c r="G5">
        <v>1591.5</v>
      </c>
      <c r="H5">
        <v>15</v>
      </c>
      <c r="J5">
        <f t="shared" si="0"/>
        <v>9.9999765640000007</v>
      </c>
      <c r="K5">
        <f t="shared" ref="K5:K19" si="1">E5-E$3</f>
        <v>-1.3491999999999999E-4</v>
      </c>
      <c r="L5">
        <f t="shared" ref="L5:L19" si="2">K5*0.000000001/(2*PI()*J5*G5*0.000000000001)</f>
        <v>-1.3492450673347559E-6</v>
      </c>
      <c r="M5">
        <v>10</v>
      </c>
      <c r="N5">
        <f t="shared" ref="N5:N19" si="3">(J5/M5-1)*1000000</f>
        <v>-2.3435999999543711</v>
      </c>
      <c r="O5">
        <f t="shared" ref="O5:O19" si="4">N5+P$1</f>
        <v>-4.736240000070798</v>
      </c>
    </row>
    <row r="6" spans="1:16" x14ac:dyDescent="0.25">
      <c r="A6" s="9">
        <v>44732.574797673609</v>
      </c>
      <c r="B6" t="s">
        <v>24</v>
      </c>
      <c r="C6">
        <v>99.999820740000004</v>
      </c>
      <c r="D6" s="1">
        <v>7.9999998092717002E-8</v>
      </c>
      <c r="E6">
        <v>1.7436000000000001E-3</v>
      </c>
      <c r="F6" s="1">
        <v>1.1135528725660001E-6</v>
      </c>
      <c r="G6">
        <v>1591.5</v>
      </c>
      <c r="H6">
        <v>15</v>
      </c>
      <c r="J6">
        <f t="shared" si="0"/>
        <v>99.99981926400001</v>
      </c>
      <c r="K6">
        <f t="shared" si="1"/>
        <v>1.7171300000000001E-3</v>
      </c>
      <c r="L6">
        <f t="shared" si="2"/>
        <v>1.7171864364762849E-6</v>
      </c>
      <c r="M6">
        <v>100</v>
      </c>
      <c r="N6">
        <f t="shared" si="3"/>
        <v>-1.8073599998835732</v>
      </c>
      <c r="O6">
        <f t="shared" si="4"/>
        <v>-4.2</v>
      </c>
    </row>
    <row r="7" spans="1:16" x14ac:dyDescent="0.25">
      <c r="A7" s="9">
        <v>44732.575740243054</v>
      </c>
      <c r="B7" t="s">
        <v>25</v>
      </c>
      <c r="C7">
        <v>99.999815760000004</v>
      </c>
      <c r="D7" s="1">
        <v>1.01980388119235E-7</v>
      </c>
      <c r="E7">
        <v>2.1136000000000002E-3</v>
      </c>
      <c r="F7" s="1">
        <v>6.63324958071168E-7</v>
      </c>
      <c r="G7">
        <v>1591.5</v>
      </c>
      <c r="H7">
        <v>15</v>
      </c>
      <c r="J7">
        <f t="shared" si="0"/>
        <v>99.99981428400001</v>
      </c>
      <c r="K7">
        <f t="shared" si="1"/>
        <v>2.0871300000000004E-3</v>
      </c>
      <c r="L7">
        <f t="shared" si="2"/>
        <v>2.0871987011151452E-6</v>
      </c>
      <c r="M7">
        <v>100</v>
      </c>
      <c r="N7">
        <f t="shared" si="3"/>
        <v>-1.8571599998962185</v>
      </c>
      <c r="O7">
        <f t="shared" si="4"/>
        <v>-4.2498000000126455</v>
      </c>
    </row>
    <row r="8" spans="1:16" x14ac:dyDescent="0.25">
      <c r="A8" s="9">
        <v>44732.576721863428</v>
      </c>
      <c r="B8" t="s">
        <v>26</v>
      </c>
      <c r="C8">
        <v>9.9999756850000008</v>
      </c>
      <c r="D8" s="1">
        <v>9.01387817674092E-8</v>
      </c>
      <c r="E8">
        <v>-2.5677000000000002E-4</v>
      </c>
      <c r="F8" s="1">
        <v>9.9704563586628494E-7</v>
      </c>
      <c r="G8">
        <v>1591.5</v>
      </c>
      <c r="H8">
        <v>15</v>
      </c>
      <c r="I8" t="s">
        <v>89</v>
      </c>
      <c r="J8">
        <f t="shared" si="0"/>
        <v>9.9999742090000012</v>
      </c>
      <c r="K8">
        <f t="shared" si="1"/>
        <v>-2.8324000000000003E-4</v>
      </c>
      <c r="L8">
        <f t="shared" si="2"/>
        <v>-2.8324952777264245E-6</v>
      </c>
      <c r="M8">
        <v>10</v>
      </c>
      <c r="N8">
        <f t="shared" si="3"/>
        <v>-2.5790999998998032</v>
      </c>
      <c r="O8">
        <f t="shared" si="4"/>
        <v>-4.9717400000162302</v>
      </c>
    </row>
    <row r="9" spans="1:16" x14ac:dyDescent="0.25">
      <c r="A9" s="9">
        <v>44732.57894540509</v>
      </c>
      <c r="B9" t="s">
        <v>28</v>
      </c>
      <c r="C9">
        <v>9.9999731579999995</v>
      </c>
      <c r="D9" s="1">
        <v>6.1122827183516602E-8</v>
      </c>
      <c r="E9">
        <v>-2.1484E-4</v>
      </c>
      <c r="F9" s="1">
        <v>6.56048778674269E-7</v>
      </c>
      <c r="G9">
        <v>1591.5</v>
      </c>
      <c r="H9">
        <v>15</v>
      </c>
      <c r="J9">
        <f t="shared" si="0"/>
        <v>9.999971682</v>
      </c>
      <c r="K9">
        <f t="shared" si="1"/>
        <v>-2.4131000000000001E-4</v>
      </c>
      <c r="L9">
        <f t="shared" si="2"/>
        <v>-2.4131817829102066E-6</v>
      </c>
      <c r="M9">
        <v>10</v>
      </c>
      <c r="N9">
        <f t="shared" si="3"/>
        <v>-2.8318000000471244</v>
      </c>
      <c r="O9">
        <f t="shared" si="4"/>
        <v>-5.2244400001635514</v>
      </c>
    </row>
    <row r="10" spans="1:16" x14ac:dyDescent="0.25">
      <c r="A10" s="9">
        <v>44732.580462592596</v>
      </c>
      <c r="B10" t="s">
        <v>29</v>
      </c>
      <c r="C10">
        <v>99.999781040000002</v>
      </c>
      <c r="D10" s="1">
        <v>9.1651514660059996E-8</v>
      </c>
      <c r="E10">
        <v>8.1959999999999997E-4</v>
      </c>
      <c r="F10" s="1">
        <v>1.11355287256601E-6</v>
      </c>
      <c r="G10">
        <v>1591.5</v>
      </c>
      <c r="H10">
        <v>15</v>
      </c>
      <c r="J10">
        <f t="shared" si="0"/>
        <v>99.999779564000008</v>
      </c>
      <c r="K10">
        <f t="shared" si="1"/>
        <v>7.9312999999999996E-4</v>
      </c>
      <c r="L10">
        <f t="shared" si="2"/>
        <v>7.9315638248624302E-7</v>
      </c>
      <c r="M10">
        <v>100</v>
      </c>
      <c r="N10">
        <f t="shared" si="3"/>
        <v>-2.204359999868899</v>
      </c>
      <c r="O10">
        <f t="shared" si="4"/>
        <v>-4.5969999999853259</v>
      </c>
    </row>
    <row r="11" spans="1:16" x14ac:dyDescent="0.25">
      <c r="A11" s="9">
        <v>44732.582006493052</v>
      </c>
      <c r="B11" t="s">
        <v>30</v>
      </c>
      <c r="C11">
        <v>99.999857279999901</v>
      </c>
      <c r="D11" s="1">
        <v>1.24899963248008E-7</v>
      </c>
      <c r="E11">
        <v>9.0669999999999998E-4</v>
      </c>
      <c r="F11" s="1">
        <v>8.9999999999999001E-7</v>
      </c>
      <c r="G11">
        <v>1591.5</v>
      </c>
      <c r="H11">
        <v>15</v>
      </c>
      <c r="J11">
        <f t="shared" si="0"/>
        <v>99.999855803999907</v>
      </c>
      <c r="K11">
        <f t="shared" si="1"/>
        <v>8.8022999999999997E-4</v>
      </c>
      <c r="L11">
        <f t="shared" si="2"/>
        <v>8.8025860864912767E-7</v>
      </c>
      <c r="M11">
        <v>100</v>
      </c>
      <c r="N11">
        <f t="shared" si="3"/>
        <v>-1.4419600009585309</v>
      </c>
      <c r="O11">
        <f t="shared" si="4"/>
        <v>-3.8346000010749579</v>
      </c>
    </row>
    <row r="12" spans="1:16" x14ac:dyDescent="0.25">
      <c r="A12" s="9">
        <v>44732.583792662037</v>
      </c>
      <c r="B12" t="s">
        <v>31</v>
      </c>
      <c r="C12">
        <v>10.00020598</v>
      </c>
      <c r="D12" s="1">
        <v>1.1661903785837099E-7</v>
      </c>
      <c r="E12">
        <v>9.0529E-4</v>
      </c>
      <c r="F12" s="1">
        <v>1.3156367279762401E-6</v>
      </c>
      <c r="G12">
        <v>1591.5</v>
      </c>
      <c r="H12">
        <v>15</v>
      </c>
      <c r="I12" t="s">
        <v>90</v>
      </c>
      <c r="J12">
        <f t="shared" si="0"/>
        <v>10.000204504000001</v>
      </c>
      <c r="K12">
        <f t="shared" si="1"/>
        <v>8.7881999999999999E-4</v>
      </c>
      <c r="L12">
        <f t="shared" si="2"/>
        <v>8.7882932314658231E-6</v>
      </c>
      <c r="M12">
        <v>10</v>
      </c>
      <c r="N12">
        <f t="shared" si="3"/>
        <v>20.450400000093794</v>
      </c>
      <c r="O12">
        <f t="shared" si="4"/>
        <v>18.057759999977367</v>
      </c>
    </row>
    <row r="13" spans="1:16" x14ac:dyDescent="0.25">
      <c r="A13" s="9">
        <v>44732.586763136576</v>
      </c>
      <c r="B13" t="s">
        <v>33</v>
      </c>
      <c r="C13">
        <v>100.004096</v>
      </c>
      <c r="D13">
        <v>0</v>
      </c>
      <c r="E13">
        <v>7.9160999999999902E-3</v>
      </c>
      <c r="F13" s="1">
        <v>2.0999999999999299E-6</v>
      </c>
      <c r="G13">
        <v>1591.5</v>
      </c>
      <c r="H13">
        <v>15</v>
      </c>
      <c r="J13">
        <f t="shared" si="0"/>
        <v>100.00409452400001</v>
      </c>
      <c r="K13">
        <f t="shared" si="1"/>
        <v>7.8896299999999895E-3</v>
      </c>
      <c r="L13">
        <f t="shared" si="2"/>
        <v>7.889552006997812E-6</v>
      </c>
      <c r="M13">
        <v>100</v>
      </c>
      <c r="N13">
        <f t="shared" si="3"/>
        <v>40.945240000089811</v>
      </c>
      <c r="O13">
        <f t="shared" si="4"/>
        <v>38.552599999973381</v>
      </c>
    </row>
    <row r="14" spans="1:16" x14ac:dyDescent="0.25">
      <c r="A14" s="9">
        <v>44732.58896134259</v>
      </c>
      <c r="B14" t="s">
        <v>34</v>
      </c>
      <c r="C14">
        <v>1000.032705</v>
      </c>
      <c r="D14" s="1">
        <v>4.9999999873762102E-6</v>
      </c>
      <c r="E14">
        <v>0.177066999999999</v>
      </c>
      <c r="F14" s="1">
        <v>3.3181320046067698E-5</v>
      </c>
      <c r="G14">
        <v>1591.5</v>
      </c>
      <c r="H14">
        <v>1.5</v>
      </c>
      <c r="J14">
        <f t="shared" si="0"/>
        <v>1000.032703524</v>
      </c>
      <c r="K14">
        <f t="shared" si="1"/>
        <v>0.177040529999999</v>
      </c>
      <c r="L14">
        <f t="shared" si="2"/>
        <v>1.7704023892001372E-5</v>
      </c>
      <c r="M14">
        <v>1000</v>
      </c>
      <c r="N14">
        <f t="shared" si="3"/>
        <v>32.703523999977335</v>
      </c>
      <c r="O14">
        <f t="shared" si="4"/>
        <v>30.310883999860909</v>
      </c>
    </row>
    <row r="15" spans="1:16" x14ac:dyDescent="0.25">
      <c r="A15" s="9">
        <v>44732.592231354167</v>
      </c>
      <c r="B15" t="s">
        <v>35</v>
      </c>
      <c r="C15">
        <v>1000.01649299999</v>
      </c>
      <c r="D15" s="1">
        <v>4.5825756833859497E-6</v>
      </c>
      <c r="E15">
        <v>0.18087599999999901</v>
      </c>
      <c r="F15" s="1">
        <v>2.0591260281974101E-5</v>
      </c>
      <c r="G15">
        <v>1591.5</v>
      </c>
      <c r="H15">
        <v>1.5</v>
      </c>
      <c r="I15" t="s">
        <v>91</v>
      </c>
      <c r="J15">
        <f t="shared" si="0"/>
        <v>1000.01649152399</v>
      </c>
      <c r="K15">
        <f t="shared" si="1"/>
        <v>0.18084952999999901</v>
      </c>
      <c r="L15">
        <f t="shared" si="2"/>
        <v>1.8085216453688273E-5</v>
      </c>
      <c r="M15">
        <v>1000</v>
      </c>
      <c r="N15">
        <f t="shared" si="3"/>
        <v>16.491523989969892</v>
      </c>
      <c r="O15">
        <f t="shared" si="4"/>
        <v>14.098883989853466</v>
      </c>
    </row>
    <row r="16" spans="1:16" x14ac:dyDescent="0.25">
      <c r="A16" s="9">
        <v>44732.594522361112</v>
      </c>
      <c r="B16" t="s">
        <v>36</v>
      </c>
      <c r="C16">
        <v>4.9999528259999897</v>
      </c>
      <c r="D16" s="1">
        <v>6.2000000004253997E-8</v>
      </c>
      <c r="E16">
        <v>2.2946999999999901E-4</v>
      </c>
      <c r="F16" s="1">
        <v>7.1840100222646898E-7</v>
      </c>
      <c r="G16">
        <v>1591.5</v>
      </c>
      <c r="H16">
        <v>15</v>
      </c>
      <c r="J16">
        <f t="shared" si="0"/>
        <v>4.9999513499999901</v>
      </c>
      <c r="K16">
        <f t="shared" si="1"/>
        <v>2.02999999999999E-4</v>
      </c>
      <c r="L16">
        <f t="shared" si="2"/>
        <v>4.0601656062790411E-6</v>
      </c>
      <c r="M16">
        <v>5</v>
      </c>
      <c r="N16">
        <f t="shared" si="3"/>
        <v>-9.7300000019284738</v>
      </c>
      <c r="O16">
        <f t="shared" si="4"/>
        <v>-12.1226400020449</v>
      </c>
    </row>
    <row r="17" spans="1:15" x14ac:dyDescent="0.25">
      <c r="A17" s="9">
        <v>44732.596428101853</v>
      </c>
      <c r="B17" t="s">
        <v>38</v>
      </c>
      <c r="C17">
        <v>5.0001002139999997</v>
      </c>
      <c r="D17" s="1">
        <v>6.0860496277987905E-8</v>
      </c>
      <c r="E17" s="1">
        <v>-6.5930000000000001E-5</v>
      </c>
      <c r="F17" s="1">
        <v>2.95061010640172E-6</v>
      </c>
      <c r="G17">
        <v>1591.5</v>
      </c>
      <c r="H17">
        <v>15</v>
      </c>
      <c r="J17">
        <f t="shared" si="0"/>
        <v>5.0000987380000002</v>
      </c>
      <c r="K17">
        <f t="shared" si="1"/>
        <v>-9.2399999999999996E-5</v>
      </c>
      <c r="L17">
        <f t="shared" si="2"/>
        <v>-1.8480209036587371E-6</v>
      </c>
      <c r="M17">
        <v>5</v>
      </c>
      <c r="N17">
        <f t="shared" si="3"/>
        <v>19.747600000119547</v>
      </c>
      <c r="O17">
        <f t="shared" si="4"/>
        <v>17.354960000003121</v>
      </c>
    </row>
    <row r="18" spans="1:15" x14ac:dyDescent="0.25">
      <c r="A18" s="9">
        <v>44732.598799861109</v>
      </c>
      <c r="B18" t="s">
        <v>40</v>
      </c>
      <c r="C18">
        <v>0.50005056599999997</v>
      </c>
      <c r="D18" s="1">
        <v>5.08330601010187E-8</v>
      </c>
      <c r="E18" s="1">
        <v>7.5619999999999998E-5</v>
      </c>
      <c r="F18" s="1">
        <v>8.95321171423975E-7</v>
      </c>
      <c r="G18">
        <v>1591.5</v>
      </c>
      <c r="H18">
        <v>15</v>
      </c>
      <c r="J18">
        <f t="shared" si="0"/>
        <v>0.50004908999999997</v>
      </c>
      <c r="K18">
        <f t="shared" si="1"/>
        <v>4.9150000000000002E-5</v>
      </c>
      <c r="L18">
        <f t="shared" si="2"/>
        <v>9.8293402685570479E-6</v>
      </c>
      <c r="M18">
        <v>0.5</v>
      </c>
      <c r="N18">
        <f t="shared" si="3"/>
        <v>98.179999999947754</v>
      </c>
      <c r="O18">
        <f t="shared" si="4"/>
        <v>95.787359999831324</v>
      </c>
    </row>
    <row r="19" spans="1:15" x14ac:dyDescent="0.25">
      <c r="A19" s="9">
        <v>44732.599981192128</v>
      </c>
      <c r="B19" t="s">
        <v>42</v>
      </c>
      <c r="C19">
        <v>1000.156704</v>
      </c>
      <c r="D19" s="1">
        <v>4.89897947319762E-6</v>
      </c>
      <c r="E19">
        <v>0.13761000000000001</v>
      </c>
      <c r="F19" s="1">
        <v>1.6733200530681599E-5</v>
      </c>
      <c r="G19">
        <v>1591.5</v>
      </c>
      <c r="H19">
        <v>1.5</v>
      </c>
      <c r="I19" t="s">
        <v>92</v>
      </c>
      <c r="J19">
        <f t="shared" si="0"/>
        <v>1000.156702524</v>
      </c>
      <c r="K19">
        <f t="shared" si="1"/>
        <v>0.13758353000000001</v>
      </c>
      <c r="L19">
        <f t="shared" si="2"/>
        <v>1.3756624627384263E-5</v>
      </c>
      <c r="M19">
        <v>1000</v>
      </c>
      <c r="N19">
        <f t="shared" si="3"/>
        <v>156.70252400012964</v>
      </c>
      <c r="O19">
        <f t="shared" si="4"/>
        <v>154.30988400001323</v>
      </c>
    </row>
    <row r="20" spans="1:15" x14ac:dyDescent="0.25">
      <c r="A20" s="9">
        <v>44732.608866967596</v>
      </c>
      <c r="B20" t="s">
        <v>44</v>
      </c>
      <c r="C20">
        <v>10.00037055</v>
      </c>
      <c r="D20" s="1">
        <v>1.43178210569032E-7</v>
      </c>
      <c r="E20">
        <v>4.1626E-4</v>
      </c>
      <c r="F20" s="1">
        <v>1.01803732740995E-6</v>
      </c>
      <c r="G20">
        <v>1591.5</v>
      </c>
      <c r="H20">
        <v>15</v>
      </c>
      <c r="J20">
        <f t="shared" ref="J20:J30" si="5">C20-C$3</f>
        <v>10.000369074</v>
      </c>
      <c r="K20">
        <f t="shared" ref="K20:K30" si="6">E20-E$3</f>
        <v>3.8978999999999999E-4</v>
      </c>
      <c r="L20">
        <f t="shared" ref="L20:L30" si="7">K20*0.000000001/(2*PI()*J20*G20*0.000000000001)</f>
        <v>3.8978772056376148E-6</v>
      </c>
      <c r="M20">
        <v>10</v>
      </c>
      <c r="N20">
        <f t="shared" ref="N20:N30" si="8">(J20/M20-1)*1000000</f>
        <v>36.907399999952517</v>
      </c>
      <c r="O20">
        <f t="shared" ref="O20:O30" si="9">N20+P$1</f>
        <v>34.514759999836087</v>
      </c>
    </row>
    <row r="21" spans="1:15" x14ac:dyDescent="0.25">
      <c r="A21" s="9">
        <v>44732.610407453707</v>
      </c>
      <c r="B21" t="s">
        <v>46</v>
      </c>
      <c r="C21">
        <v>10.000106349999999</v>
      </c>
      <c r="D21" s="1">
        <v>4.9999999696126399E-8</v>
      </c>
      <c r="E21">
        <v>4.1751999999999902E-4</v>
      </c>
      <c r="F21" s="1">
        <v>8.3402637847972002E-7</v>
      </c>
      <c r="G21">
        <v>1591.5</v>
      </c>
      <c r="H21">
        <v>15</v>
      </c>
      <c r="J21">
        <f t="shared" si="5"/>
        <v>10.000104874</v>
      </c>
      <c r="K21">
        <f t="shared" si="6"/>
        <v>3.9104999999999902E-4</v>
      </c>
      <c r="L21">
        <f t="shared" si="7"/>
        <v>3.910580445676939E-6</v>
      </c>
      <c r="M21">
        <v>10</v>
      </c>
      <c r="N21">
        <f t="shared" si="8"/>
        <v>10.487399999981051</v>
      </c>
      <c r="O21">
        <f t="shared" si="9"/>
        <v>8.0947599998646247</v>
      </c>
    </row>
    <row r="22" spans="1:15" x14ac:dyDescent="0.25">
      <c r="A22" s="9">
        <v>44732.611237002318</v>
      </c>
      <c r="B22" t="s">
        <v>47</v>
      </c>
      <c r="C22">
        <v>10.00008631</v>
      </c>
      <c r="D22" s="1">
        <v>1.5132745935926801E-7</v>
      </c>
      <c r="E22">
        <v>4.0573999999999997E-4</v>
      </c>
      <c r="F22" s="1">
        <v>1.4058449416631999E-6</v>
      </c>
      <c r="G22">
        <v>1591.5</v>
      </c>
      <c r="H22">
        <v>15</v>
      </c>
      <c r="J22">
        <f t="shared" si="5"/>
        <v>10.000084834000001</v>
      </c>
      <c r="K22">
        <f t="shared" si="6"/>
        <v>3.7926999999999997E-4</v>
      </c>
      <c r="L22">
        <f t="shared" si="7"/>
        <v>3.792785622992037E-6</v>
      </c>
      <c r="M22">
        <v>10</v>
      </c>
      <c r="N22">
        <f t="shared" si="8"/>
        <v>8.4834000000366672</v>
      </c>
      <c r="O22">
        <f t="shared" si="9"/>
        <v>6.0907599999202402</v>
      </c>
    </row>
    <row r="23" spans="1:15" x14ac:dyDescent="0.25">
      <c r="A23" s="9">
        <v>44732.612157222226</v>
      </c>
      <c r="B23" t="s">
        <v>48</v>
      </c>
      <c r="C23">
        <v>10.000177689999999</v>
      </c>
      <c r="D23" s="1">
        <v>1.3747727065921499E-7</v>
      </c>
      <c r="E23">
        <v>4.3975999999999998E-4</v>
      </c>
      <c r="F23" s="1">
        <v>9.3187982057772696E-7</v>
      </c>
      <c r="G23">
        <v>1591.5</v>
      </c>
      <c r="H23">
        <v>15</v>
      </c>
      <c r="J23">
        <f t="shared" si="5"/>
        <v>10.000176214</v>
      </c>
      <c r="K23">
        <f t="shared" si="6"/>
        <v>4.1328999999999997E-4</v>
      </c>
      <c r="L23">
        <f t="shared" si="7"/>
        <v>4.1329555366299508E-6</v>
      </c>
      <c r="M23">
        <v>10</v>
      </c>
      <c r="N23">
        <f t="shared" si="8"/>
        <v>17.621400000056298</v>
      </c>
      <c r="O23">
        <f t="shared" si="9"/>
        <v>15.228759999939872</v>
      </c>
    </row>
    <row r="24" spans="1:15" x14ac:dyDescent="0.25">
      <c r="A24" s="9">
        <v>44732.613121689814</v>
      </c>
      <c r="B24" t="s">
        <v>49</v>
      </c>
      <c r="C24">
        <v>9.9999904540000006</v>
      </c>
      <c r="D24" s="1">
        <v>1.5285287065351401E-7</v>
      </c>
      <c r="E24">
        <v>4.1015000000000002E-4</v>
      </c>
      <c r="F24" s="1">
        <v>1.28549601321825E-6</v>
      </c>
      <c r="G24">
        <v>1591.5</v>
      </c>
      <c r="H24">
        <v>15</v>
      </c>
      <c r="J24">
        <f t="shared" si="5"/>
        <v>9.9999889780000011</v>
      </c>
      <c r="K24">
        <f t="shared" si="6"/>
        <v>3.8368000000000001E-4</v>
      </c>
      <c r="L24">
        <f t="shared" si="7"/>
        <v>3.8369233974828813E-6</v>
      </c>
      <c r="M24">
        <v>10</v>
      </c>
      <c r="N24">
        <f t="shared" si="8"/>
        <v>-1.1021999999361043</v>
      </c>
      <c r="O24">
        <f t="shared" si="9"/>
        <v>-3.4948400000525313</v>
      </c>
    </row>
    <row r="25" spans="1:15" x14ac:dyDescent="0.25">
      <c r="A25" s="9">
        <v>44732.613961157411</v>
      </c>
      <c r="B25" t="s">
        <v>50</v>
      </c>
      <c r="C25">
        <v>10.000183059999999</v>
      </c>
      <c r="D25" s="1">
        <v>1.11355287249832E-7</v>
      </c>
      <c r="E25">
        <v>4.4035E-4</v>
      </c>
      <c r="F25" s="1">
        <v>1.2745587471748799E-6</v>
      </c>
      <c r="G25">
        <v>1591.5</v>
      </c>
      <c r="H25">
        <v>15</v>
      </c>
      <c r="J25">
        <f t="shared" si="5"/>
        <v>10.000181584</v>
      </c>
      <c r="K25">
        <f t="shared" si="6"/>
        <v>4.1387999999999999E-4</v>
      </c>
      <c r="L25">
        <f t="shared" si="7"/>
        <v>4.1388533933872153E-6</v>
      </c>
      <c r="M25">
        <v>10</v>
      </c>
      <c r="N25">
        <f t="shared" si="8"/>
        <v>18.158400000078956</v>
      </c>
      <c r="O25">
        <f t="shared" si="9"/>
        <v>15.76575999996253</v>
      </c>
    </row>
    <row r="26" spans="1:15" x14ac:dyDescent="0.25">
      <c r="A26" s="9">
        <v>44732.618387199072</v>
      </c>
      <c r="B26" t="s">
        <v>51</v>
      </c>
      <c r="C26">
        <v>10.00031407</v>
      </c>
      <c r="D26" s="1">
        <v>1.61554944056842E-7</v>
      </c>
      <c r="E26">
        <v>4.2544999999999898E-4</v>
      </c>
      <c r="F26" s="1">
        <v>1.10022724925354E-6</v>
      </c>
      <c r="G26">
        <v>1591.5</v>
      </c>
      <c r="H26">
        <v>15</v>
      </c>
      <c r="J26">
        <f t="shared" si="5"/>
        <v>10.000312594</v>
      </c>
      <c r="K26">
        <f t="shared" si="6"/>
        <v>3.9897999999999898E-4</v>
      </c>
      <c r="L26">
        <f t="shared" si="7"/>
        <v>3.9897992017737691E-6</v>
      </c>
      <c r="M26">
        <v>10</v>
      </c>
      <c r="N26">
        <f t="shared" si="8"/>
        <v>31.259400000038795</v>
      </c>
      <c r="O26">
        <f t="shared" si="9"/>
        <v>28.866759999922369</v>
      </c>
    </row>
    <row r="27" spans="1:15" x14ac:dyDescent="0.25">
      <c r="A27" s="9">
        <v>44732.619686435188</v>
      </c>
      <c r="B27" t="s">
        <v>53</v>
      </c>
      <c r="C27">
        <v>10.00022171</v>
      </c>
      <c r="D27" s="1">
        <v>1.5132745969968401E-7</v>
      </c>
      <c r="E27">
        <v>4.2753999999999899E-4</v>
      </c>
      <c r="F27" s="1">
        <v>1.5140673697032101E-6</v>
      </c>
      <c r="G27">
        <v>1591.5</v>
      </c>
      <c r="H27">
        <v>15</v>
      </c>
      <c r="I27" t="s">
        <v>93</v>
      </c>
      <c r="J27">
        <f t="shared" si="5"/>
        <v>10.000220234</v>
      </c>
      <c r="K27">
        <f t="shared" si="6"/>
        <v>4.0106999999999898E-4</v>
      </c>
      <c r="L27">
        <f t="shared" si="7"/>
        <v>4.0107362395943734E-6</v>
      </c>
      <c r="M27">
        <v>10</v>
      </c>
      <c r="N27">
        <f t="shared" si="8"/>
        <v>22.023400000126259</v>
      </c>
      <c r="O27">
        <f t="shared" si="9"/>
        <v>19.630760000009833</v>
      </c>
    </row>
    <row r="28" spans="1:15" x14ac:dyDescent="0.25">
      <c r="A28" s="9">
        <v>44732.621995775466</v>
      </c>
      <c r="B28" t="s">
        <v>54</v>
      </c>
      <c r="C28">
        <v>10.0003459199999</v>
      </c>
      <c r="D28" s="1">
        <v>1.7776388836516299E-7</v>
      </c>
      <c r="E28">
        <v>4.2912000000000001E-4</v>
      </c>
      <c r="F28" s="1">
        <v>1.25283678106926E-6</v>
      </c>
      <c r="G28">
        <v>1591.5</v>
      </c>
      <c r="H28">
        <v>15</v>
      </c>
      <c r="J28">
        <f t="shared" si="5"/>
        <v>10.0003444439999</v>
      </c>
      <c r="K28">
        <f t="shared" si="6"/>
        <v>4.0265E-4</v>
      </c>
      <c r="L28">
        <f t="shared" si="7"/>
        <v>4.0264863704731507E-6</v>
      </c>
      <c r="M28">
        <v>10</v>
      </c>
      <c r="N28">
        <f t="shared" si="8"/>
        <v>34.444399990007923</v>
      </c>
      <c r="O28">
        <f t="shared" si="9"/>
        <v>32.051759989891494</v>
      </c>
    </row>
    <row r="29" spans="1:15" x14ac:dyDescent="0.25">
      <c r="A29" s="9">
        <v>44732.623916712961</v>
      </c>
      <c r="B29" t="s">
        <v>55</v>
      </c>
      <c r="C29">
        <v>10.000418959999999</v>
      </c>
      <c r="D29" s="1">
        <v>1.35646599623845E-7</v>
      </c>
      <c r="E29">
        <v>4.2360999999999902E-4</v>
      </c>
      <c r="F29" s="1">
        <v>1.094029250066E-6</v>
      </c>
      <c r="G29">
        <v>1591.5</v>
      </c>
      <c r="H29">
        <v>15</v>
      </c>
      <c r="J29">
        <f t="shared" si="5"/>
        <v>10.000417484</v>
      </c>
      <c r="K29">
        <f t="shared" si="6"/>
        <v>3.9713999999999901E-4</v>
      </c>
      <c r="L29">
        <f t="shared" si="7"/>
        <v>3.9713575511877301E-6</v>
      </c>
      <c r="M29">
        <v>10</v>
      </c>
      <c r="N29">
        <f t="shared" si="8"/>
        <v>41.748399999930186</v>
      </c>
      <c r="O29">
        <f t="shared" si="9"/>
        <v>39.355759999813756</v>
      </c>
    </row>
    <row r="30" spans="1:15" x14ac:dyDescent="0.25">
      <c r="A30" s="9">
        <v>44732.624833692127</v>
      </c>
      <c r="B30" t="s">
        <v>56</v>
      </c>
      <c r="C30">
        <v>10.0002213</v>
      </c>
      <c r="D30" s="1">
        <v>1.1832159554341401E-7</v>
      </c>
      <c r="E30">
        <v>4.1693999999999998E-4</v>
      </c>
      <c r="F30" s="1">
        <v>8.6510115015528298E-7</v>
      </c>
      <c r="G30">
        <v>1591.5</v>
      </c>
      <c r="H30">
        <v>15</v>
      </c>
      <c r="J30">
        <f t="shared" si="5"/>
        <v>10.000219824</v>
      </c>
      <c r="K30">
        <f t="shared" si="6"/>
        <v>3.9046999999999997E-4</v>
      </c>
      <c r="L30">
        <f t="shared" si="7"/>
        <v>3.9047354418978399E-6</v>
      </c>
      <c r="M30">
        <v>10</v>
      </c>
      <c r="N30">
        <f t="shared" si="8"/>
        <v>21.982400000064573</v>
      </c>
      <c r="O30">
        <f t="shared" si="9"/>
        <v>19.589759999948146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B808-F2AA-4D0F-A083-343E85D42D73}">
  <dimension ref="A1:P30"/>
  <sheetViews>
    <sheetView workbookViewId="0">
      <selection activeCell="I12" sqref="I12"/>
    </sheetView>
  </sheetViews>
  <sheetFormatPr defaultRowHeight="15" x14ac:dyDescent="0.25"/>
  <cols>
    <col min="1" max="1" width="15.28515625" customWidth="1"/>
    <col min="9" max="9" width="5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-2.2915000000747385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9">
        <v>44733.00540509259</v>
      </c>
      <c r="B3" t="s">
        <v>17</v>
      </c>
      <c r="C3" s="1">
        <v>1.2E-5</v>
      </c>
      <c r="D3" s="1">
        <v>2.9999999999999999E-7</v>
      </c>
      <c r="E3" s="1">
        <v>1.6900000000000001E-5</v>
      </c>
      <c r="F3" s="1">
        <v>5.0799999999999996E-6</v>
      </c>
      <c r="G3">
        <v>1591.5</v>
      </c>
      <c r="H3">
        <v>15</v>
      </c>
      <c r="I3" t="s">
        <v>88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9">
        <v>44733.007071759261</v>
      </c>
      <c r="B4" t="s">
        <v>21</v>
      </c>
      <c r="C4">
        <v>9.9999757490000007</v>
      </c>
      <c r="D4" s="1">
        <v>1.14E-7</v>
      </c>
      <c r="E4">
        <v>-1.2074E-4</v>
      </c>
      <c r="F4" s="1">
        <v>7.0900000000000001E-7</v>
      </c>
      <c r="G4">
        <v>1591.5</v>
      </c>
      <c r="H4">
        <v>15</v>
      </c>
      <c r="J4">
        <f t="shared" ref="J4:J30" si="0">C4-C$3</f>
        <v>9.9999637490000008</v>
      </c>
      <c r="K4">
        <f>E4-E$3</f>
        <v>-1.3763999999999999E-4</v>
      </c>
      <c r="L4">
        <f>K4*0.000000001/(2*PI()*J4*G4*0.000000000001)</f>
        <v>-1.3764477398184127E-6</v>
      </c>
      <c r="M4">
        <v>10</v>
      </c>
      <c r="N4">
        <f>(J4/M4-1)*1000000</f>
        <v>-3.6250999999598577</v>
      </c>
      <c r="O4">
        <f>N4+P$1</f>
        <v>-5.9166000000345962</v>
      </c>
    </row>
    <row r="5" spans="1:16" x14ac:dyDescent="0.25">
      <c r="A5" s="9">
        <v>44733.008148148147</v>
      </c>
      <c r="B5" t="s">
        <v>23</v>
      </c>
      <c r="C5">
        <v>9.9999781040000002</v>
      </c>
      <c r="D5" s="1">
        <v>7.9500000000000004E-8</v>
      </c>
      <c r="E5" s="1">
        <v>-7.1500000000000003E-5</v>
      </c>
      <c r="F5" s="1">
        <v>7.3099999999999997E-7</v>
      </c>
      <c r="G5">
        <v>1591.5</v>
      </c>
      <c r="H5">
        <v>15</v>
      </c>
      <c r="J5">
        <f t="shared" si="0"/>
        <v>9.9999661040000003</v>
      </c>
      <c r="K5">
        <f t="shared" ref="K5:K30" si="1">E5-E$3</f>
        <v>-8.8400000000000007E-5</v>
      </c>
      <c r="L5">
        <f t="shared" ref="L5:L30" si="2">K5*0.000000001/(2*PI()*J5*G5*0.000000000001)</f>
        <v>-8.8403045295470964E-7</v>
      </c>
      <c r="M5">
        <v>10</v>
      </c>
      <c r="N5">
        <f t="shared" ref="N5:N30" si="3">(J5/M5-1)*1000000</f>
        <v>-3.3896000000144255</v>
      </c>
      <c r="O5">
        <f t="shared" ref="O5:O30" si="4">N5+P$1</f>
        <v>-5.681100000089164</v>
      </c>
    </row>
    <row r="6" spans="1:16" x14ac:dyDescent="0.25">
      <c r="A6" s="9">
        <v>44733.009317129632</v>
      </c>
      <c r="B6" t="s">
        <v>24</v>
      </c>
      <c r="C6">
        <v>99.999821150000002</v>
      </c>
      <c r="D6" s="1">
        <v>1.02E-7</v>
      </c>
      <c r="E6">
        <v>1.7608000000000001E-3</v>
      </c>
      <c r="F6" s="1">
        <v>1.08E-6</v>
      </c>
      <c r="G6">
        <v>1591.5</v>
      </c>
      <c r="H6">
        <v>15</v>
      </c>
      <c r="J6">
        <f t="shared" si="0"/>
        <v>99.999809150000004</v>
      </c>
      <c r="K6">
        <f t="shared" si="1"/>
        <v>1.7439000000000001E-3</v>
      </c>
      <c r="L6">
        <f t="shared" si="2"/>
        <v>1.7439574927032662E-6</v>
      </c>
      <c r="M6">
        <v>100</v>
      </c>
      <c r="N6">
        <f t="shared" si="3"/>
        <v>-1.9084999999252616</v>
      </c>
      <c r="O6">
        <f t="shared" si="4"/>
        <v>-4.2</v>
      </c>
    </row>
    <row r="7" spans="1:16" x14ac:dyDescent="0.25">
      <c r="A7" s="9">
        <v>44733.010393518518</v>
      </c>
      <c r="B7" t="s">
        <v>25</v>
      </c>
      <c r="C7">
        <v>99.999816019999997</v>
      </c>
      <c r="D7" s="1">
        <v>1.17E-7</v>
      </c>
      <c r="E7">
        <v>2.1343999999999998E-3</v>
      </c>
      <c r="F7" s="1">
        <v>1.11E-6</v>
      </c>
      <c r="G7">
        <v>1591.5</v>
      </c>
      <c r="H7">
        <v>15</v>
      </c>
      <c r="J7">
        <f t="shared" si="0"/>
        <v>99.999804019999999</v>
      </c>
      <c r="K7">
        <f t="shared" si="1"/>
        <v>2.1175E-3</v>
      </c>
      <c r="L7">
        <f t="shared" si="2"/>
        <v>2.1175699181384918E-6</v>
      </c>
      <c r="M7">
        <v>100</v>
      </c>
      <c r="N7">
        <f t="shared" si="3"/>
        <v>-1.9598000000620175</v>
      </c>
      <c r="O7">
        <f t="shared" si="4"/>
        <v>-4.251300000136756</v>
      </c>
    </row>
    <row r="8" spans="1:16" x14ac:dyDescent="0.25">
      <c r="A8" s="9">
        <v>44733.011724537035</v>
      </c>
      <c r="B8" t="s">
        <v>26</v>
      </c>
      <c r="C8">
        <v>9.9999758209999996</v>
      </c>
      <c r="D8" s="1">
        <v>7.91E-8</v>
      </c>
      <c r="E8">
        <v>-2.2942000000000001E-4</v>
      </c>
      <c r="F8" s="1">
        <v>1.11E-6</v>
      </c>
      <c r="G8">
        <v>1591.5</v>
      </c>
      <c r="H8">
        <v>15</v>
      </c>
      <c r="I8" t="s">
        <v>94</v>
      </c>
      <c r="J8">
        <f t="shared" si="0"/>
        <v>9.9999638209999997</v>
      </c>
      <c r="K8">
        <f t="shared" si="1"/>
        <v>-2.4632000000000001E-4</v>
      </c>
      <c r="L8">
        <f t="shared" si="2"/>
        <v>-2.4632854172546284E-6</v>
      </c>
      <c r="M8">
        <v>10</v>
      </c>
      <c r="N8">
        <f t="shared" si="3"/>
        <v>-3.6179000000302608</v>
      </c>
      <c r="O8">
        <f t="shared" si="4"/>
        <v>-5.9094000001049993</v>
      </c>
    </row>
    <row r="9" spans="1:16" x14ac:dyDescent="0.25">
      <c r="A9" s="9">
        <v>44733.014340277776</v>
      </c>
      <c r="B9" t="s">
        <v>28</v>
      </c>
      <c r="C9">
        <v>9.9999733400000004</v>
      </c>
      <c r="D9" s="1">
        <v>8.7499999999999996E-8</v>
      </c>
      <c r="E9">
        <v>-1.9704E-4</v>
      </c>
      <c r="F9" s="1">
        <v>9.9199999999999999E-7</v>
      </c>
      <c r="G9">
        <v>1591.5</v>
      </c>
      <c r="H9">
        <v>15</v>
      </c>
      <c r="J9">
        <f t="shared" si="0"/>
        <v>9.9999613400000005</v>
      </c>
      <c r="K9">
        <f t="shared" si="1"/>
        <v>-2.1394E-4</v>
      </c>
      <c r="L9">
        <f t="shared" si="2"/>
        <v>-2.1394747195334939E-6</v>
      </c>
      <c r="M9">
        <v>10</v>
      </c>
      <c r="N9">
        <f t="shared" si="3"/>
        <v>-3.8659999999079986</v>
      </c>
      <c r="O9">
        <f t="shared" si="4"/>
        <v>-6.1574999999827371</v>
      </c>
    </row>
    <row r="10" spans="1:16" x14ac:dyDescent="0.25">
      <c r="A10" s="9">
        <v>44733.015532407408</v>
      </c>
      <c r="B10" t="s">
        <v>29</v>
      </c>
      <c r="C10">
        <v>99.999781229999996</v>
      </c>
      <c r="D10" s="1">
        <v>1.42E-7</v>
      </c>
      <c r="E10">
        <v>8.3549999999999998E-4</v>
      </c>
      <c r="F10" s="1">
        <v>9.2200000000000002E-7</v>
      </c>
      <c r="G10">
        <v>1591.5</v>
      </c>
      <c r="H10">
        <v>15</v>
      </c>
      <c r="J10">
        <f t="shared" si="0"/>
        <v>99.999769229999998</v>
      </c>
      <c r="K10">
        <f t="shared" si="1"/>
        <v>8.1859999999999995E-4</v>
      </c>
      <c r="L10">
        <f t="shared" si="2"/>
        <v>8.1862731431135233E-7</v>
      </c>
      <c r="M10">
        <v>100</v>
      </c>
      <c r="N10">
        <f t="shared" si="3"/>
        <v>-2.3076999999815939</v>
      </c>
      <c r="O10">
        <f t="shared" si="4"/>
        <v>-4.5992000000563324</v>
      </c>
    </row>
    <row r="11" spans="1:16" x14ac:dyDescent="0.25">
      <c r="A11" s="9">
        <v>44733.016504629632</v>
      </c>
      <c r="B11" t="s">
        <v>30</v>
      </c>
      <c r="C11">
        <v>99.999857349999999</v>
      </c>
      <c r="D11" s="1">
        <v>9.2200000000000005E-8</v>
      </c>
      <c r="E11">
        <v>9.2290000000000004E-4</v>
      </c>
      <c r="F11" s="1">
        <v>1.1400000000000001E-6</v>
      </c>
      <c r="G11">
        <v>1591.5</v>
      </c>
      <c r="H11">
        <v>15</v>
      </c>
      <c r="J11">
        <f t="shared" si="0"/>
        <v>99.999845350000001</v>
      </c>
      <c r="K11">
        <f t="shared" si="1"/>
        <v>9.0600000000000001E-4</v>
      </c>
      <c r="L11">
        <f t="shared" si="2"/>
        <v>9.0602954092496601E-7</v>
      </c>
      <c r="M11">
        <v>100</v>
      </c>
      <c r="N11">
        <f t="shared" si="3"/>
        <v>-1.546499999949269</v>
      </c>
      <c r="O11">
        <f t="shared" si="4"/>
        <v>-3.8380000000240075</v>
      </c>
    </row>
    <row r="12" spans="1:16" x14ac:dyDescent="0.25">
      <c r="A12" s="9">
        <v>44733.018240740741</v>
      </c>
      <c r="B12" t="s">
        <v>31</v>
      </c>
      <c r="C12">
        <v>10.00020424</v>
      </c>
      <c r="D12" s="1">
        <v>1.2800000000000001E-7</v>
      </c>
      <c r="E12">
        <v>8.7584999999999996E-4</v>
      </c>
      <c r="F12" s="1">
        <v>1.15E-6</v>
      </c>
      <c r="G12">
        <v>1591.5</v>
      </c>
      <c r="H12">
        <v>15</v>
      </c>
      <c r="I12" t="s">
        <v>95</v>
      </c>
      <c r="J12">
        <f t="shared" si="0"/>
        <v>10.000192240000001</v>
      </c>
      <c r="K12">
        <f t="shared" si="1"/>
        <v>8.5894999999999993E-4</v>
      </c>
      <c r="L12">
        <f t="shared" si="2"/>
        <v>8.5896016575871788E-6</v>
      </c>
      <c r="M12">
        <v>10</v>
      </c>
      <c r="N12">
        <f t="shared" si="3"/>
        <v>19.224000000095387</v>
      </c>
      <c r="O12">
        <f t="shared" si="4"/>
        <v>16.932500000020649</v>
      </c>
    </row>
    <row r="13" spans="1:16" x14ac:dyDescent="0.25">
      <c r="A13" s="9">
        <v>44733.02134259259</v>
      </c>
      <c r="B13" t="s">
        <v>33</v>
      </c>
      <c r="C13">
        <v>100.00409310000001</v>
      </c>
      <c r="D13" s="1">
        <v>2.9999999999999999E-7</v>
      </c>
      <c r="E13">
        <v>7.7844000000000003E-3</v>
      </c>
      <c r="F13" s="1">
        <v>2.7599999999999998E-6</v>
      </c>
      <c r="G13">
        <v>1591.5</v>
      </c>
      <c r="H13">
        <v>15</v>
      </c>
      <c r="J13">
        <f t="shared" si="0"/>
        <v>100.00408110000001</v>
      </c>
      <c r="K13">
        <f t="shared" si="1"/>
        <v>7.7675000000000001E-3</v>
      </c>
      <c r="L13">
        <f t="shared" si="2"/>
        <v>7.7674242569712819E-6</v>
      </c>
      <c r="M13">
        <v>100</v>
      </c>
      <c r="N13">
        <f t="shared" si="3"/>
        <v>40.811000000084974</v>
      </c>
      <c r="O13">
        <f t="shared" si="4"/>
        <v>38.519500000010233</v>
      </c>
    </row>
    <row r="14" spans="1:16" x14ac:dyDescent="0.25">
      <c r="A14" s="9">
        <v>44733.024062500001</v>
      </c>
      <c r="B14" t="s">
        <v>34</v>
      </c>
      <c r="C14">
        <v>1000.0327119999999</v>
      </c>
      <c r="D14" s="1">
        <v>3.9999999999999998E-6</v>
      </c>
      <c r="E14">
        <v>0.17776900000000001</v>
      </c>
      <c r="F14" s="1">
        <v>2.6999999999999999E-5</v>
      </c>
      <c r="G14">
        <v>1591.5</v>
      </c>
      <c r="H14">
        <v>1.5</v>
      </c>
      <c r="J14">
        <f t="shared" si="0"/>
        <v>1000.0327</v>
      </c>
      <c r="K14">
        <f t="shared" si="1"/>
        <v>0.17775210000000002</v>
      </c>
      <c r="L14">
        <f t="shared" si="2"/>
        <v>1.7775180837646868E-5</v>
      </c>
      <c r="M14">
        <v>1000</v>
      </c>
      <c r="N14">
        <f t="shared" si="3"/>
        <v>32.699999999996621</v>
      </c>
      <c r="O14">
        <f t="shared" si="4"/>
        <v>30.408499999921883</v>
      </c>
    </row>
    <row r="15" spans="1:16" x14ac:dyDescent="0.25">
      <c r="A15" s="9">
        <v>44733.025925925926</v>
      </c>
      <c r="B15" t="s">
        <v>35</v>
      </c>
      <c r="C15">
        <v>1000.016163</v>
      </c>
      <c r="D15" s="1">
        <v>6.0535999999999999E-4</v>
      </c>
      <c r="E15">
        <v>0.18545800000000001</v>
      </c>
      <c r="F15" s="1">
        <v>5.3178600000000002E-4</v>
      </c>
      <c r="G15">
        <v>1591.5</v>
      </c>
      <c r="H15">
        <v>1.5</v>
      </c>
      <c r="J15">
        <f t="shared" si="0"/>
        <v>1000.016151</v>
      </c>
      <c r="K15">
        <f t="shared" si="1"/>
        <v>0.18544110000000003</v>
      </c>
      <c r="L15">
        <f t="shared" si="2"/>
        <v>1.8544386457191132E-5</v>
      </c>
      <c r="M15">
        <v>1000</v>
      </c>
      <c r="N15">
        <f t="shared" si="3"/>
        <v>16.1510000000753</v>
      </c>
      <c r="O15">
        <f t="shared" si="4"/>
        <v>13.859500000000562</v>
      </c>
    </row>
    <row r="16" spans="1:16" x14ac:dyDescent="0.25">
      <c r="A16" s="9">
        <v>44733.027858796297</v>
      </c>
      <c r="B16" t="s">
        <v>36</v>
      </c>
      <c r="C16">
        <v>4.999953047</v>
      </c>
      <c r="D16" s="1">
        <v>3.6599999999999997E-8</v>
      </c>
      <c r="E16">
        <v>2.3808E-4</v>
      </c>
      <c r="F16" s="1">
        <v>7.7700000000000004E-7</v>
      </c>
      <c r="G16">
        <v>1591.5</v>
      </c>
      <c r="H16">
        <v>15</v>
      </c>
      <c r="J16">
        <f t="shared" si="0"/>
        <v>4.9999410470000001</v>
      </c>
      <c r="K16">
        <f t="shared" si="1"/>
        <v>2.2117999999999999E-4</v>
      </c>
      <c r="L16">
        <f t="shared" si="2"/>
        <v>4.4237895531721141E-6</v>
      </c>
      <c r="M16">
        <v>5</v>
      </c>
      <c r="N16">
        <f t="shared" si="3"/>
        <v>-11.790600000005647</v>
      </c>
      <c r="O16">
        <f t="shared" si="4"/>
        <v>-14.082100000080384</v>
      </c>
    </row>
    <row r="17" spans="1:15" x14ac:dyDescent="0.25">
      <c r="A17" s="9">
        <v>44733.02920138889</v>
      </c>
      <c r="B17" t="s">
        <v>38</v>
      </c>
      <c r="C17">
        <v>5.0001004360000003</v>
      </c>
      <c r="D17" s="1">
        <v>8.9599999999999995E-8</v>
      </c>
      <c r="E17" s="1">
        <v>1.4061E-4</v>
      </c>
      <c r="F17" s="1">
        <v>1.7099999999999999E-5</v>
      </c>
      <c r="G17">
        <v>1591.5</v>
      </c>
      <c r="H17">
        <v>15</v>
      </c>
      <c r="J17">
        <f t="shared" si="0"/>
        <v>5.0000884360000004</v>
      </c>
      <c r="K17">
        <f t="shared" si="1"/>
        <v>1.2370999999999999E-4</v>
      </c>
      <c r="L17">
        <f t="shared" si="2"/>
        <v>2.4742330847314982E-6</v>
      </c>
      <c r="M17">
        <v>5</v>
      </c>
      <c r="N17">
        <f t="shared" si="3"/>
        <v>17.687200000171543</v>
      </c>
      <c r="O17">
        <f t="shared" si="4"/>
        <v>15.395700000096806</v>
      </c>
    </row>
    <row r="18" spans="1:15" x14ac:dyDescent="0.25">
      <c r="A18" s="9">
        <v>44733.030763888892</v>
      </c>
      <c r="B18" t="s">
        <v>40</v>
      </c>
      <c r="C18">
        <v>0.500050789</v>
      </c>
      <c r="D18" s="1">
        <v>8.6299999999999999E-8</v>
      </c>
      <c r="E18" s="1">
        <v>7.6500000000000003E-5</v>
      </c>
      <c r="F18" s="1">
        <v>7.8800000000000002E-7</v>
      </c>
      <c r="G18">
        <v>1591.5</v>
      </c>
      <c r="H18">
        <v>15</v>
      </c>
      <c r="J18">
        <f t="shared" si="0"/>
        <v>0.50003878899999998</v>
      </c>
      <c r="K18">
        <f t="shared" si="1"/>
        <v>5.9599999999999999E-5</v>
      </c>
      <c r="L18">
        <f t="shared" si="2"/>
        <v>1.1919445540431951E-5</v>
      </c>
      <c r="M18">
        <v>0.5</v>
      </c>
      <c r="N18">
        <f t="shared" si="3"/>
        <v>77.577999999967062</v>
      </c>
      <c r="O18">
        <f t="shared" si="4"/>
        <v>75.286499999892328</v>
      </c>
    </row>
    <row r="19" spans="1:15" x14ac:dyDescent="0.25">
      <c r="A19" s="9">
        <v>44733.032824074071</v>
      </c>
      <c r="B19" t="s">
        <v>42</v>
      </c>
      <c r="C19">
        <v>1000.1582100000001</v>
      </c>
      <c r="D19" s="1">
        <v>4.4700000000000004E-6</v>
      </c>
      <c r="E19">
        <v>0.135994</v>
      </c>
      <c r="F19" s="1">
        <v>3.01E-5</v>
      </c>
      <c r="G19">
        <v>1591.5</v>
      </c>
      <c r="H19">
        <v>1.5</v>
      </c>
      <c r="I19" t="s">
        <v>96</v>
      </c>
      <c r="J19">
        <f t="shared" si="0"/>
        <v>1000.1581980000001</v>
      </c>
      <c r="K19">
        <f t="shared" si="1"/>
        <v>0.13597710000000002</v>
      </c>
      <c r="L19">
        <f t="shared" si="2"/>
        <v>1.3595981478643668E-5</v>
      </c>
      <c r="M19">
        <v>1000</v>
      </c>
      <c r="N19">
        <f t="shared" si="3"/>
        <v>158.19800000005381</v>
      </c>
      <c r="O19">
        <f t="shared" si="4"/>
        <v>155.90649999997908</v>
      </c>
    </row>
    <row r="20" spans="1:15" x14ac:dyDescent="0.25">
      <c r="A20" s="9">
        <v>44733.035787037035</v>
      </c>
      <c r="B20" t="s">
        <v>44</v>
      </c>
      <c r="C20">
        <v>10.00036117</v>
      </c>
      <c r="D20" s="1">
        <v>2.28E-7</v>
      </c>
      <c r="E20">
        <v>3.8683000000000001E-4</v>
      </c>
      <c r="F20" s="1">
        <v>6.9600000000000003E-6</v>
      </c>
      <c r="G20">
        <v>1591.5</v>
      </c>
      <c r="H20">
        <v>15</v>
      </c>
      <c r="I20" t="s">
        <v>97</v>
      </c>
      <c r="J20">
        <f t="shared" si="0"/>
        <v>10.00034917</v>
      </c>
      <c r="K20">
        <f t="shared" si="1"/>
        <v>3.6993000000000003E-4</v>
      </c>
      <c r="L20">
        <f t="shared" si="2"/>
        <v>3.6992857298086205E-6</v>
      </c>
      <c r="M20">
        <v>10</v>
      </c>
      <c r="N20">
        <f t="shared" si="3"/>
        <v>34.917000000023179</v>
      </c>
      <c r="O20">
        <f t="shared" si="4"/>
        <v>32.625499999948438</v>
      </c>
    </row>
    <row r="21" spans="1:15" x14ac:dyDescent="0.25">
      <c r="A21" s="9">
        <v>44733.037465277775</v>
      </c>
      <c r="B21" t="s">
        <v>46</v>
      </c>
      <c r="C21">
        <v>10.000101150000001</v>
      </c>
      <c r="D21" s="1">
        <v>2.3300000000000001E-7</v>
      </c>
      <c r="E21">
        <v>3.2804999999999998E-4</v>
      </c>
      <c r="F21" s="1">
        <v>8.0700000000000007E-6</v>
      </c>
      <c r="G21">
        <v>1591.5</v>
      </c>
      <c r="H21">
        <v>15</v>
      </c>
      <c r="J21">
        <f t="shared" si="0"/>
        <v>10.000089150000001</v>
      </c>
      <c r="K21">
        <f t="shared" si="1"/>
        <v>3.1115E-4</v>
      </c>
      <c r="L21">
        <f t="shared" si="2"/>
        <v>3.1115689014592686E-6</v>
      </c>
      <c r="M21">
        <v>10</v>
      </c>
      <c r="N21">
        <f t="shared" si="3"/>
        <v>8.9149999999982299</v>
      </c>
      <c r="O21">
        <f t="shared" si="4"/>
        <v>6.6234999999234914</v>
      </c>
    </row>
    <row r="22" spans="1:15" x14ac:dyDescent="0.25">
      <c r="A22" s="9">
        <v>44733.04</v>
      </c>
      <c r="B22" t="s">
        <v>47</v>
      </c>
      <c r="C22">
        <v>10.0000795</v>
      </c>
      <c r="D22" s="1">
        <v>1.48E-7</v>
      </c>
      <c r="E22">
        <v>2.0108999999999999E-4</v>
      </c>
      <c r="F22" s="1">
        <v>1.4300000000000001E-6</v>
      </c>
      <c r="G22">
        <v>1591.5</v>
      </c>
      <c r="H22">
        <v>15</v>
      </c>
      <c r="J22">
        <f t="shared" si="0"/>
        <v>10.0000675</v>
      </c>
      <c r="K22">
        <f t="shared" si="1"/>
        <v>1.8418999999999998E-4</v>
      </c>
      <c r="L22">
        <f t="shared" si="2"/>
        <v>1.8419447750472077E-6</v>
      </c>
      <c r="M22">
        <v>10</v>
      </c>
      <c r="N22">
        <f t="shared" si="3"/>
        <v>6.7500000000553229</v>
      </c>
      <c r="O22">
        <f t="shared" si="4"/>
        <v>4.4584999999805843</v>
      </c>
    </row>
    <row r="23" spans="1:15" x14ac:dyDescent="0.25">
      <c r="A23" s="9">
        <v>44733.041006944448</v>
      </c>
      <c r="B23" t="s">
        <v>48</v>
      </c>
      <c r="C23">
        <v>10.00017431</v>
      </c>
      <c r="D23" s="1">
        <v>1.3E-7</v>
      </c>
      <c r="E23">
        <v>4.2711000000000002E-4</v>
      </c>
      <c r="F23" s="1">
        <v>1.48E-6</v>
      </c>
      <c r="G23">
        <v>1591.5</v>
      </c>
      <c r="H23">
        <v>15</v>
      </c>
      <c r="J23">
        <f t="shared" si="0"/>
        <v>10.00016231</v>
      </c>
      <c r="K23">
        <f t="shared" si="1"/>
        <v>4.1021000000000005E-4</v>
      </c>
      <c r="L23">
        <f t="shared" si="2"/>
        <v>4.1021608262930008E-6</v>
      </c>
      <c r="M23">
        <v>10</v>
      </c>
      <c r="N23">
        <f t="shared" si="3"/>
        <v>16.231000000033191</v>
      </c>
      <c r="O23">
        <f t="shared" si="4"/>
        <v>13.939499999958453</v>
      </c>
    </row>
    <row r="24" spans="1:15" x14ac:dyDescent="0.25">
      <c r="A24" s="9">
        <v>44733.000081018516</v>
      </c>
      <c r="B24" t="s">
        <v>49</v>
      </c>
      <c r="C24">
        <v>9.9999692570000001</v>
      </c>
      <c r="D24" s="1">
        <v>1.01E-7</v>
      </c>
      <c r="E24">
        <v>2.8139000000000001E-4</v>
      </c>
      <c r="F24" s="1">
        <v>1.3599999999999999E-6</v>
      </c>
      <c r="G24">
        <v>1591.5</v>
      </c>
      <c r="H24">
        <v>15</v>
      </c>
      <c r="J24">
        <f t="shared" si="0"/>
        <v>9.9999572570000002</v>
      </c>
      <c r="K24">
        <f t="shared" si="1"/>
        <v>2.6449000000000004E-4</v>
      </c>
      <c r="L24">
        <f t="shared" si="2"/>
        <v>2.644993454309559E-6</v>
      </c>
      <c r="M24">
        <v>10</v>
      </c>
      <c r="N24">
        <f t="shared" si="3"/>
        <v>-4.2742999999401121</v>
      </c>
      <c r="O24">
        <f t="shared" si="4"/>
        <v>-6.5658000000148506</v>
      </c>
    </row>
    <row r="25" spans="1:15" x14ac:dyDescent="0.25">
      <c r="A25" s="9">
        <v>44733.000891203701</v>
      </c>
      <c r="B25" t="s">
        <v>50</v>
      </c>
      <c r="C25">
        <v>10.00018066</v>
      </c>
      <c r="D25" s="1">
        <v>1.2800000000000001E-7</v>
      </c>
      <c r="E25">
        <v>4.1969000000000002E-4</v>
      </c>
      <c r="F25" s="1">
        <v>1.5400000000000001E-6</v>
      </c>
      <c r="G25">
        <v>1591.5</v>
      </c>
      <c r="H25">
        <v>15</v>
      </c>
      <c r="J25">
        <f t="shared" si="0"/>
        <v>10.00016866</v>
      </c>
      <c r="K25">
        <f t="shared" si="1"/>
        <v>4.0279000000000004E-4</v>
      </c>
      <c r="L25">
        <f t="shared" si="2"/>
        <v>4.027957168337706E-6</v>
      </c>
      <c r="M25">
        <v>10</v>
      </c>
      <c r="N25">
        <f t="shared" si="3"/>
        <v>16.865999999948755</v>
      </c>
      <c r="O25">
        <f t="shared" si="4"/>
        <v>14.574499999874018</v>
      </c>
    </row>
    <row r="26" spans="1:15" x14ac:dyDescent="0.25">
      <c r="A26" s="9">
        <v>44733.001689814817</v>
      </c>
      <c r="B26" t="s">
        <v>51</v>
      </c>
      <c r="C26">
        <v>10.000303219999999</v>
      </c>
      <c r="D26" s="1">
        <v>1.66E-7</v>
      </c>
      <c r="E26">
        <v>3.8530999999999998E-4</v>
      </c>
      <c r="F26" s="1">
        <v>1.39E-6</v>
      </c>
      <c r="G26">
        <v>1591.5</v>
      </c>
      <c r="H26">
        <v>15</v>
      </c>
      <c r="J26">
        <f t="shared" si="0"/>
        <v>10.000291219999999</v>
      </c>
      <c r="K26">
        <f t="shared" si="1"/>
        <v>3.6841E-4</v>
      </c>
      <c r="L26">
        <f t="shared" si="2"/>
        <v>3.6841071370986306E-6</v>
      </c>
      <c r="M26">
        <v>10</v>
      </c>
      <c r="N26">
        <f t="shared" si="3"/>
        <v>29.121999999937032</v>
      </c>
      <c r="O26">
        <f t="shared" si="4"/>
        <v>26.830499999862294</v>
      </c>
    </row>
    <row r="27" spans="1:15" x14ac:dyDescent="0.25">
      <c r="A27" s="9">
        <v>44733.002662037034</v>
      </c>
      <c r="B27" t="s">
        <v>53</v>
      </c>
      <c r="C27">
        <v>10.00021435</v>
      </c>
      <c r="D27" s="1">
        <v>2.16E-7</v>
      </c>
      <c r="E27">
        <v>3.8246999999999999E-4</v>
      </c>
      <c r="F27" s="1">
        <v>1.8899999999999999E-6</v>
      </c>
      <c r="G27">
        <v>1591.5</v>
      </c>
      <c r="H27">
        <v>15</v>
      </c>
      <c r="J27">
        <f t="shared" si="0"/>
        <v>10.00020235</v>
      </c>
      <c r="K27">
        <f t="shared" si="1"/>
        <v>3.6557000000000001E-4</v>
      </c>
      <c r="L27">
        <f t="shared" si="2"/>
        <v>3.6557395696915968E-6</v>
      </c>
      <c r="M27">
        <v>10</v>
      </c>
      <c r="N27">
        <f t="shared" si="3"/>
        <v>20.235000000035086</v>
      </c>
      <c r="O27">
        <f t="shared" si="4"/>
        <v>17.943499999960348</v>
      </c>
    </row>
    <row r="28" spans="1:15" x14ac:dyDescent="0.25">
      <c r="A28" s="9">
        <v>44733.003599537034</v>
      </c>
      <c r="B28" t="s">
        <v>54</v>
      </c>
      <c r="C28">
        <v>10.000337399999999</v>
      </c>
      <c r="D28" s="1">
        <v>1.1000000000000001E-7</v>
      </c>
      <c r="E28">
        <v>3.0428999999999997E-4</v>
      </c>
      <c r="F28" s="1">
        <v>1.42E-6</v>
      </c>
      <c r="G28">
        <v>1591.5</v>
      </c>
      <c r="H28">
        <v>15</v>
      </c>
      <c r="J28">
        <f t="shared" si="0"/>
        <v>10.000325399999999</v>
      </c>
      <c r="K28">
        <f t="shared" si="1"/>
        <v>2.8739E-4</v>
      </c>
      <c r="L28">
        <f t="shared" si="2"/>
        <v>2.8738957448323881E-6</v>
      </c>
      <c r="M28">
        <v>10</v>
      </c>
      <c r="N28">
        <f t="shared" si="3"/>
        <v>32.539999999858793</v>
      </c>
      <c r="O28">
        <f t="shared" si="4"/>
        <v>30.248499999784055</v>
      </c>
    </row>
    <row r="29" spans="1:15" x14ac:dyDescent="0.25">
      <c r="A29" s="9">
        <v>44733.00472222222</v>
      </c>
      <c r="B29" t="s">
        <v>55</v>
      </c>
      <c r="C29">
        <v>10.00040106</v>
      </c>
      <c r="D29" s="1">
        <v>8.0000000000000002E-8</v>
      </c>
      <c r="E29">
        <v>3.4054000000000002E-4</v>
      </c>
      <c r="F29" s="1">
        <v>1.39E-6</v>
      </c>
      <c r="G29">
        <v>1591.5</v>
      </c>
      <c r="H29">
        <v>15</v>
      </c>
      <c r="J29">
        <f t="shared" si="0"/>
        <v>10.00038906</v>
      </c>
      <c r="K29">
        <f t="shared" si="1"/>
        <v>3.2364000000000004E-4</v>
      </c>
      <c r="L29">
        <f t="shared" si="2"/>
        <v>3.236374606015549E-6</v>
      </c>
      <c r="M29">
        <v>10</v>
      </c>
      <c r="N29">
        <f t="shared" si="3"/>
        <v>38.905999999894192</v>
      </c>
      <c r="O29">
        <f t="shared" si="4"/>
        <v>36.614499999819451</v>
      </c>
    </row>
    <row r="30" spans="1:15" x14ac:dyDescent="0.25">
      <c r="A30" s="9">
        <v>44733.005729166667</v>
      </c>
      <c r="B30" t="s">
        <v>56</v>
      </c>
      <c r="C30">
        <v>10.00020958</v>
      </c>
      <c r="D30" s="1">
        <v>1.4700000000000001E-7</v>
      </c>
      <c r="E30">
        <v>3.5638E-4</v>
      </c>
      <c r="F30" s="1">
        <v>2.8700000000000001E-6</v>
      </c>
      <c r="G30">
        <v>1591.5</v>
      </c>
      <c r="H30">
        <v>15</v>
      </c>
      <c r="J30">
        <f t="shared" si="0"/>
        <v>10.00019758</v>
      </c>
      <c r="K30">
        <f t="shared" si="1"/>
        <v>3.3948000000000002E-4</v>
      </c>
      <c r="L30">
        <f t="shared" si="2"/>
        <v>3.3948383649869551E-6</v>
      </c>
      <c r="M30">
        <v>10</v>
      </c>
      <c r="N30">
        <f t="shared" si="3"/>
        <v>19.758000000091869</v>
      </c>
      <c r="O30">
        <f t="shared" si="4"/>
        <v>17.466500000017131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5607-A290-405B-BDA4-77E200D3BC8D}">
  <dimension ref="A1:P30"/>
  <sheetViews>
    <sheetView topLeftCell="A13" workbookViewId="0">
      <selection activeCell="E16" sqref="E16"/>
    </sheetView>
  </sheetViews>
  <sheetFormatPr defaultRowHeight="15" x14ac:dyDescent="0.25"/>
  <cols>
    <col min="1" max="1" width="15.28515625" customWidth="1"/>
    <col min="9" max="9" width="56.42578125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-2.4167199999993914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9">
        <v>44733.623865740738</v>
      </c>
      <c r="B3" t="s">
        <v>17</v>
      </c>
      <c r="C3" s="1">
        <v>9.7999999999999898E-8</v>
      </c>
      <c r="D3" s="1">
        <v>8.3282651254628E-8</v>
      </c>
      <c r="E3" s="1">
        <v>2.7319999999999901E-5</v>
      </c>
      <c r="F3" s="1">
        <v>6.6151341634164799E-7</v>
      </c>
      <c r="G3">
        <v>1591.5</v>
      </c>
      <c r="H3">
        <v>15</v>
      </c>
      <c r="I3" t="s">
        <v>98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9">
        <v>44733.625061238425</v>
      </c>
      <c r="B4" t="s">
        <v>21</v>
      </c>
      <c r="C4">
        <v>9.9999758499999896</v>
      </c>
      <c r="D4" s="1">
        <v>8.9442718814589599E-8</v>
      </c>
      <c r="E4">
        <v>-1.3244999999999999E-4</v>
      </c>
      <c r="F4" s="1">
        <v>6.9462219947249196E-7</v>
      </c>
      <c r="G4">
        <v>1591.5</v>
      </c>
      <c r="H4">
        <v>15</v>
      </c>
      <c r="J4">
        <f t="shared" ref="J4:J30" si="0">C4-C$3</f>
        <v>9.9999757519999903</v>
      </c>
      <c r="K4">
        <f>E4-E$3</f>
        <v>-1.5976999999999989E-4</v>
      </c>
      <c r="L4">
        <f>K4*0.000000001/(2*PI()*J4*G4*0.000000000001)</f>
        <v>-1.597753497719463E-6</v>
      </c>
      <c r="M4">
        <v>10</v>
      </c>
      <c r="N4">
        <f>(J4/M4-1)*1000000</f>
        <v>-2.4248000010107518</v>
      </c>
      <c r="O4">
        <f>N4+P$1</f>
        <v>-4.8415200010101431</v>
      </c>
    </row>
    <row r="5" spans="1:16" x14ac:dyDescent="0.25">
      <c r="A5" s="9">
        <v>44733.625927013891</v>
      </c>
      <c r="B5" t="s">
        <v>23</v>
      </c>
      <c r="C5">
        <v>9.9999782419999992</v>
      </c>
      <c r="D5" s="1">
        <v>1.07219401074843E-7</v>
      </c>
      <c r="E5" s="1">
        <v>-9.3330000000000003E-5</v>
      </c>
      <c r="F5" s="1">
        <v>1.28378347083921E-6</v>
      </c>
      <c r="G5">
        <v>1591.5</v>
      </c>
      <c r="H5">
        <v>15</v>
      </c>
      <c r="J5">
        <f t="shared" si="0"/>
        <v>9.999978144</v>
      </c>
      <c r="K5">
        <f t="shared" ref="K5:K30" si="1">E5-E$3</f>
        <v>-1.206499999999999E-4</v>
      </c>
      <c r="L5">
        <f t="shared" ref="L5:L30" si="2">K5*0.000000001/(2*PI()*J5*G5*0.000000000001)</f>
        <v>-1.206540110092114E-6</v>
      </c>
      <c r="M5">
        <v>10</v>
      </c>
      <c r="N5">
        <f t="shared" ref="N5:N30" si="3">(J5/M5-1)*1000000</f>
        <v>-2.1855999999820241</v>
      </c>
      <c r="O5">
        <f t="shared" ref="O5:O30" si="4">N5+P$1</f>
        <v>-4.6023199999814155</v>
      </c>
    </row>
    <row r="6" spans="1:16" x14ac:dyDescent="0.25">
      <c r="A6" s="9">
        <v>44733.626810127316</v>
      </c>
      <c r="B6" t="s">
        <v>24</v>
      </c>
      <c r="C6">
        <v>99.999821769999997</v>
      </c>
      <c r="D6" s="1">
        <v>1.09999999670601E-7</v>
      </c>
      <c r="E6">
        <v>1.7477E-3</v>
      </c>
      <c r="F6" s="1">
        <v>6.4031242374328803E-7</v>
      </c>
      <c r="G6">
        <v>1591.5</v>
      </c>
      <c r="H6">
        <v>15</v>
      </c>
      <c r="J6">
        <f t="shared" si="0"/>
        <v>99.999821671999996</v>
      </c>
      <c r="K6">
        <f t="shared" si="1"/>
        <v>1.7203800000000001E-3</v>
      </c>
      <c r="L6">
        <f t="shared" si="2"/>
        <v>1.7204365018650254E-6</v>
      </c>
      <c r="M6">
        <v>100</v>
      </c>
      <c r="N6">
        <f t="shared" si="3"/>
        <v>-1.7832800000006088</v>
      </c>
      <c r="O6">
        <f t="shared" si="4"/>
        <v>-4.2</v>
      </c>
    </row>
    <row r="7" spans="1:16" x14ac:dyDescent="0.25">
      <c r="A7" s="9">
        <v>44733.627630752315</v>
      </c>
      <c r="B7" t="s">
        <v>25</v>
      </c>
      <c r="C7">
        <v>99.999816789999898</v>
      </c>
      <c r="D7" s="1">
        <v>9.4339811293271406E-8</v>
      </c>
      <c r="E7">
        <v>2.1257999999999902E-3</v>
      </c>
      <c r="F7" s="1">
        <v>8.7177978870805095E-7</v>
      </c>
      <c r="G7">
        <v>1591.5</v>
      </c>
      <c r="H7">
        <v>15</v>
      </c>
      <c r="J7">
        <f t="shared" si="0"/>
        <v>99.999816691999897</v>
      </c>
      <c r="K7">
        <f t="shared" si="1"/>
        <v>2.0984799999999902E-3</v>
      </c>
      <c r="L7">
        <f t="shared" si="2"/>
        <v>2.0985490241848042E-6</v>
      </c>
      <c r="M7">
        <v>100</v>
      </c>
      <c r="N7">
        <f t="shared" si="3"/>
        <v>-1.8330800010124548</v>
      </c>
      <c r="O7">
        <f t="shared" si="4"/>
        <v>-4.2498000010118462</v>
      </c>
    </row>
    <row r="8" spans="1:16" x14ac:dyDescent="0.25">
      <c r="A8" s="9">
        <v>44733.628864699072</v>
      </c>
      <c r="B8" t="s">
        <v>26</v>
      </c>
      <c r="C8">
        <v>9.9999757959999993</v>
      </c>
      <c r="D8" s="1">
        <v>8.8340251146600101E-8</v>
      </c>
      <c r="E8">
        <v>-2.3373999999999999E-4</v>
      </c>
      <c r="F8" s="1">
        <v>1.1191067866830199E-6</v>
      </c>
      <c r="G8">
        <v>1591.5</v>
      </c>
      <c r="H8">
        <v>15</v>
      </c>
      <c r="I8" t="s">
        <v>99</v>
      </c>
      <c r="J8">
        <f t="shared" si="0"/>
        <v>9.9999756980000001</v>
      </c>
      <c r="K8">
        <f t="shared" si="1"/>
        <v>-2.6105999999999992E-4</v>
      </c>
      <c r="L8">
        <f t="shared" si="2"/>
        <v>-2.610687427971707E-6</v>
      </c>
      <c r="M8">
        <v>10</v>
      </c>
      <c r="N8">
        <f t="shared" si="3"/>
        <v>-2.4302000000142598</v>
      </c>
      <c r="O8">
        <f t="shared" si="4"/>
        <v>-4.8469200000136512</v>
      </c>
    </row>
    <row r="9" spans="1:16" x14ac:dyDescent="0.25">
      <c r="A9" s="9">
        <v>44733.630070439816</v>
      </c>
      <c r="B9" t="s">
        <v>28</v>
      </c>
      <c r="C9">
        <v>9.9999733539999998</v>
      </c>
      <c r="D9" s="1">
        <v>7.6967525599546003E-8</v>
      </c>
      <c r="E9">
        <v>-1.9746999999999999E-4</v>
      </c>
      <c r="F9" s="1">
        <v>7.44378935757856E-7</v>
      </c>
      <c r="G9">
        <v>1591.5</v>
      </c>
      <c r="H9">
        <v>15</v>
      </c>
      <c r="J9">
        <f t="shared" si="0"/>
        <v>9.9999732560000005</v>
      </c>
      <c r="K9">
        <f t="shared" si="1"/>
        <v>-2.2478999999999989E-4</v>
      </c>
      <c r="L9">
        <f t="shared" si="2"/>
        <v>-2.2479758302477691E-6</v>
      </c>
      <c r="M9">
        <v>10</v>
      </c>
      <c r="N9">
        <f t="shared" si="3"/>
        <v>-2.6743999999023771</v>
      </c>
      <c r="O9">
        <f t="shared" si="4"/>
        <v>-5.0911199999017684</v>
      </c>
    </row>
    <row r="10" spans="1:16" x14ac:dyDescent="0.25">
      <c r="A10" s="9">
        <v>44733.630952465275</v>
      </c>
      <c r="B10" t="s">
        <v>29</v>
      </c>
      <c r="C10">
        <v>99.999781819999995</v>
      </c>
      <c r="D10" s="1">
        <v>1.1661903974715499E-7</v>
      </c>
      <c r="E10">
        <v>8.3529999999999997E-4</v>
      </c>
      <c r="F10" s="1">
        <v>7.8102496759065996E-7</v>
      </c>
      <c r="G10">
        <v>1591.5</v>
      </c>
      <c r="H10">
        <v>15</v>
      </c>
      <c r="J10">
        <f t="shared" si="0"/>
        <v>99.999781721999994</v>
      </c>
      <c r="K10">
        <f t="shared" si="1"/>
        <v>8.0798000000000003E-4</v>
      </c>
      <c r="L10">
        <f t="shared" si="2"/>
        <v>8.0800685901625799E-7</v>
      </c>
      <c r="M10">
        <v>100</v>
      </c>
      <c r="N10">
        <f t="shared" si="3"/>
        <v>-2.1827800000817632</v>
      </c>
      <c r="O10">
        <f t="shared" si="4"/>
        <v>-4.5995000000811546</v>
      </c>
    </row>
    <row r="11" spans="1:16" x14ac:dyDescent="0.25">
      <c r="A11" s="9">
        <v>44733.631840717593</v>
      </c>
      <c r="B11" t="s">
        <v>30</v>
      </c>
      <c r="C11">
        <v>99.999857999999904</v>
      </c>
      <c r="D11" s="1">
        <v>1.8439088821790001E-7</v>
      </c>
      <c r="E11">
        <v>9.2029999999999998E-4</v>
      </c>
      <c r="F11" s="1">
        <v>1.48660687473186E-6</v>
      </c>
      <c r="G11">
        <v>1591.5</v>
      </c>
      <c r="H11">
        <v>15</v>
      </c>
      <c r="J11">
        <f t="shared" si="0"/>
        <v>99.999857901999903</v>
      </c>
      <c r="K11">
        <f t="shared" si="1"/>
        <v>8.9298000000000003E-4</v>
      </c>
      <c r="L11">
        <f t="shared" si="2"/>
        <v>8.930090043057788E-7</v>
      </c>
      <c r="M11">
        <v>100</v>
      </c>
      <c r="N11">
        <f t="shared" si="3"/>
        <v>-1.4209800009989948</v>
      </c>
      <c r="O11">
        <f t="shared" si="4"/>
        <v>-3.8377000009983862</v>
      </c>
    </row>
    <row r="12" spans="1:16" x14ac:dyDescent="0.25">
      <c r="A12" s="9">
        <v>44733.6334909375</v>
      </c>
      <c r="B12" t="s">
        <v>31</v>
      </c>
      <c r="C12">
        <v>10.00020585</v>
      </c>
      <c r="D12" s="1">
        <v>4.9999999696126399E-8</v>
      </c>
      <c r="E12">
        <v>9.1617999999999995E-4</v>
      </c>
      <c r="F12" s="1">
        <v>1.3926952286843E-6</v>
      </c>
      <c r="G12">
        <v>1591.5</v>
      </c>
      <c r="H12">
        <v>15</v>
      </c>
      <c r="I12" t="s">
        <v>100</v>
      </c>
      <c r="J12">
        <f t="shared" si="0"/>
        <v>10.000205752000001</v>
      </c>
      <c r="K12">
        <f t="shared" si="1"/>
        <v>8.8886E-4</v>
      </c>
      <c r="L12">
        <f t="shared" si="2"/>
        <v>8.8886931872940882E-6</v>
      </c>
      <c r="M12">
        <v>10</v>
      </c>
      <c r="N12">
        <f t="shared" si="3"/>
        <v>20.57520000020574</v>
      </c>
      <c r="O12">
        <f t="shared" si="4"/>
        <v>18.15848000020635</v>
      </c>
    </row>
    <row r="13" spans="1:16" x14ac:dyDescent="0.25">
      <c r="A13" s="9">
        <v>44733.635304606483</v>
      </c>
      <c r="B13" t="s">
        <v>33</v>
      </c>
      <c r="C13">
        <v>100.0040972</v>
      </c>
      <c r="D13" s="1">
        <v>3.99999998990097E-7</v>
      </c>
      <c r="E13">
        <v>8.2439000000000002E-3</v>
      </c>
      <c r="F13" s="1">
        <v>4.1340053217189098E-6</v>
      </c>
      <c r="G13">
        <v>1591.5</v>
      </c>
      <c r="H13">
        <v>15</v>
      </c>
      <c r="J13">
        <f t="shared" si="0"/>
        <v>100.004097102</v>
      </c>
      <c r="K13">
        <f t="shared" si="1"/>
        <v>8.2165800000000011E-3</v>
      </c>
      <c r="L13">
        <f t="shared" si="2"/>
        <v>8.2164985631182551E-6</v>
      </c>
      <c r="M13">
        <v>100</v>
      </c>
      <c r="N13">
        <f t="shared" si="3"/>
        <v>40.971020000002412</v>
      </c>
      <c r="O13">
        <f t="shared" si="4"/>
        <v>38.554300000003018</v>
      </c>
    </row>
    <row r="14" spans="1:16" x14ac:dyDescent="0.25">
      <c r="A14" s="9">
        <v>44733.636805138885</v>
      </c>
      <c r="B14" t="s">
        <v>34</v>
      </c>
      <c r="C14">
        <v>1000.03269399999</v>
      </c>
      <c r="D14" s="1">
        <v>4.89897947319762E-6</v>
      </c>
      <c r="E14">
        <v>0.17247299999999999</v>
      </c>
      <c r="F14" s="1">
        <v>4.3139309220246503E-5</v>
      </c>
      <c r="G14">
        <v>1591.5</v>
      </c>
      <c r="H14">
        <v>1.5</v>
      </c>
      <c r="J14">
        <f t="shared" si="0"/>
        <v>1000.03269390199</v>
      </c>
      <c r="K14">
        <f t="shared" si="1"/>
        <v>0.17244567999999999</v>
      </c>
      <c r="L14">
        <f t="shared" si="2"/>
        <v>1.7244539813382321E-5</v>
      </c>
      <c r="M14">
        <v>1000</v>
      </c>
      <c r="N14">
        <f t="shared" si="3"/>
        <v>32.693901989899743</v>
      </c>
      <c r="O14">
        <f t="shared" si="4"/>
        <v>30.277181989900352</v>
      </c>
    </row>
    <row r="15" spans="1:16" x14ac:dyDescent="0.25">
      <c r="A15" s="9">
        <v>44733.638570416668</v>
      </c>
      <c r="B15" t="s">
        <v>35</v>
      </c>
      <c r="C15">
        <v>1000.016472</v>
      </c>
      <c r="D15" s="1">
        <v>3.99999998990097E-6</v>
      </c>
      <c r="E15">
        <v>0.17613599999999999</v>
      </c>
      <c r="F15" s="1">
        <v>2.6532998322845601E-5</v>
      </c>
      <c r="G15">
        <v>1591.5</v>
      </c>
      <c r="H15">
        <v>1.5</v>
      </c>
      <c r="J15">
        <f t="shared" si="0"/>
        <v>1000.016471902</v>
      </c>
      <c r="K15">
        <f t="shared" si="1"/>
        <v>0.17610867999999999</v>
      </c>
      <c r="L15">
        <f t="shared" si="2"/>
        <v>1.7611124892984983E-5</v>
      </c>
      <c r="M15">
        <v>1000</v>
      </c>
      <c r="N15">
        <f t="shared" si="3"/>
        <v>16.471901999937089</v>
      </c>
      <c r="O15">
        <f t="shared" si="4"/>
        <v>14.055181999937698</v>
      </c>
    </row>
    <row r="16" spans="1:16" x14ac:dyDescent="0.25">
      <c r="A16" s="9">
        <v>44733.63986625</v>
      </c>
      <c r="B16" t="s">
        <v>36</v>
      </c>
      <c r="C16">
        <v>4.9999527219999997</v>
      </c>
      <c r="D16" s="1">
        <v>1.1600000007446599E-7</v>
      </c>
      <c r="E16">
        <v>2.2284E-4</v>
      </c>
      <c r="F16" s="1">
        <v>4.8207883172775798E-7</v>
      </c>
      <c r="G16">
        <v>1591.5</v>
      </c>
      <c r="H16">
        <v>15</v>
      </c>
      <c r="J16">
        <f t="shared" si="0"/>
        <v>4.9999526239999996</v>
      </c>
      <c r="K16">
        <f t="shared" si="1"/>
        <v>1.9552000000000011E-4</v>
      </c>
      <c r="L16">
        <f t="shared" si="2"/>
        <v>3.9105585077163568E-6</v>
      </c>
      <c r="M16">
        <v>5</v>
      </c>
      <c r="N16">
        <f t="shared" si="3"/>
        <v>-9.4752000000530856</v>
      </c>
      <c r="O16">
        <f t="shared" si="4"/>
        <v>-11.891920000052476</v>
      </c>
    </row>
    <row r="17" spans="1:15" x14ac:dyDescent="0.25">
      <c r="A17" s="9">
        <v>44733.640922997685</v>
      </c>
      <c r="B17" t="s">
        <v>38</v>
      </c>
      <c r="C17">
        <v>5.0001002009999898</v>
      </c>
      <c r="D17" s="1">
        <v>9.7616597043179596E-8</v>
      </c>
      <c r="E17">
        <v>1.5447E-4</v>
      </c>
      <c r="F17" s="1">
        <v>7.1700767080973497E-7</v>
      </c>
      <c r="G17">
        <v>1591.5</v>
      </c>
      <c r="H17">
        <v>15</v>
      </c>
      <c r="J17">
        <f t="shared" si="0"/>
        <v>5.0001001029999896</v>
      </c>
      <c r="K17">
        <f t="shared" si="1"/>
        <v>1.2715000000000011E-4</v>
      </c>
      <c r="L17">
        <f t="shared" si="2"/>
        <v>2.5430280709208248E-6</v>
      </c>
      <c r="M17">
        <v>5</v>
      </c>
      <c r="N17">
        <f t="shared" si="3"/>
        <v>20.020599997838673</v>
      </c>
      <c r="O17">
        <f t="shared" si="4"/>
        <v>17.603879997839282</v>
      </c>
    </row>
    <row r="18" spans="1:15" x14ac:dyDescent="0.25">
      <c r="A18" s="9">
        <v>44733.641971944446</v>
      </c>
      <c r="B18" t="s">
        <v>40</v>
      </c>
      <c r="C18">
        <v>0.50005042499999997</v>
      </c>
      <c r="D18" s="1">
        <v>7.1867934458129394E-8</v>
      </c>
      <c r="E18" s="1">
        <v>7.6370000000000002E-5</v>
      </c>
      <c r="F18" s="1">
        <v>1.17902502093891E-6</v>
      </c>
      <c r="G18">
        <v>1591.5</v>
      </c>
      <c r="H18">
        <v>15</v>
      </c>
      <c r="J18">
        <f t="shared" si="0"/>
        <v>0.50005032699999996</v>
      </c>
      <c r="K18">
        <f t="shared" si="1"/>
        <v>4.9050000000000101E-5</v>
      </c>
      <c r="L18">
        <f t="shared" si="2"/>
        <v>9.809317344970054E-6</v>
      </c>
      <c r="M18">
        <v>0.5</v>
      </c>
      <c r="N18">
        <f t="shared" si="3"/>
        <v>100.65399999992231</v>
      </c>
      <c r="O18">
        <f t="shared" si="4"/>
        <v>98.237279999922919</v>
      </c>
    </row>
    <row r="19" spans="1:15" x14ac:dyDescent="0.25">
      <c r="A19" s="9">
        <v>44733.643216689816</v>
      </c>
      <c r="B19" t="s">
        <v>42</v>
      </c>
      <c r="C19">
        <v>1000.157454</v>
      </c>
      <c r="D19" s="1">
        <v>4.89897947319762E-6</v>
      </c>
      <c r="E19">
        <v>0.13533499999999901</v>
      </c>
      <c r="F19" s="1">
        <v>3.7215588131859303E-5</v>
      </c>
      <c r="G19">
        <v>1591.5</v>
      </c>
      <c r="H19">
        <v>1.5</v>
      </c>
      <c r="I19" t="s">
        <v>101</v>
      </c>
      <c r="J19">
        <f t="shared" si="0"/>
        <v>1000.157453902</v>
      </c>
      <c r="K19">
        <f t="shared" si="1"/>
        <v>0.13530767999999901</v>
      </c>
      <c r="L19">
        <f t="shared" si="2"/>
        <v>1.3529058053567135E-5</v>
      </c>
      <c r="M19">
        <v>1000</v>
      </c>
      <c r="N19">
        <f t="shared" si="3"/>
        <v>157.45390199994881</v>
      </c>
      <c r="O19">
        <f t="shared" si="4"/>
        <v>155.03718199994941</v>
      </c>
    </row>
    <row r="20" spans="1:15" x14ac:dyDescent="0.25">
      <c r="A20" s="9">
        <v>44733.64458630787</v>
      </c>
      <c r="B20" t="s">
        <v>44</v>
      </c>
      <c r="C20">
        <v>10.00036029</v>
      </c>
      <c r="D20" s="1">
        <v>9.4339811443904304E-8</v>
      </c>
      <c r="E20">
        <v>4.2001000000000001E-4</v>
      </c>
      <c r="F20" s="1">
        <v>7.8160092118676496E-7</v>
      </c>
      <c r="G20">
        <v>1591.5</v>
      </c>
      <c r="H20">
        <v>15</v>
      </c>
      <c r="I20" t="s">
        <v>97</v>
      </c>
      <c r="J20">
        <f t="shared" si="0"/>
        <v>10.000360192</v>
      </c>
      <c r="K20">
        <f t="shared" si="1"/>
        <v>3.9269000000000012E-4</v>
      </c>
      <c r="L20">
        <f t="shared" si="2"/>
        <v>3.9268805237763169E-6</v>
      </c>
      <c r="M20">
        <v>10</v>
      </c>
      <c r="N20">
        <f t="shared" si="3"/>
        <v>36.019199999959284</v>
      </c>
      <c r="O20">
        <f t="shared" si="4"/>
        <v>33.60247999995989</v>
      </c>
    </row>
    <row r="21" spans="1:15" x14ac:dyDescent="0.25">
      <c r="A21" s="9">
        <v>44733.645293287038</v>
      </c>
      <c r="B21" t="s">
        <v>46</v>
      </c>
      <c r="C21">
        <v>10.00010073</v>
      </c>
      <c r="D21" s="1">
        <v>1.18743420881741E-7</v>
      </c>
      <c r="E21">
        <v>4.2070999999999998E-4</v>
      </c>
      <c r="F21" s="1">
        <v>8.9938868127189603E-7</v>
      </c>
      <c r="G21">
        <v>1591.5</v>
      </c>
      <c r="H21">
        <v>15</v>
      </c>
      <c r="J21">
        <f t="shared" si="0"/>
        <v>10.000100632000001</v>
      </c>
      <c r="K21">
        <f t="shared" si="1"/>
        <v>3.9339000000000008E-4</v>
      </c>
      <c r="L21">
        <f t="shared" si="2"/>
        <v>3.93398259583291E-6</v>
      </c>
      <c r="M21">
        <v>10</v>
      </c>
      <c r="N21">
        <f t="shared" si="3"/>
        <v>10.063199999965633</v>
      </c>
      <c r="O21">
        <f t="shared" si="4"/>
        <v>7.6464799999662416</v>
      </c>
    </row>
    <row r="22" spans="1:15" x14ac:dyDescent="0.25">
      <c r="A22" s="9">
        <v>44733.646377743054</v>
      </c>
      <c r="B22" t="s">
        <v>47</v>
      </c>
      <c r="C22">
        <v>10.00007931</v>
      </c>
      <c r="D22" s="1">
        <v>1.2999999997512799E-7</v>
      </c>
      <c r="E22">
        <v>4.0932999999999898E-4</v>
      </c>
      <c r="F22" s="1">
        <v>1.0139526616169001E-6</v>
      </c>
      <c r="G22">
        <v>1591.5</v>
      </c>
      <c r="H22">
        <v>15</v>
      </c>
      <c r="J22">
        <f t="shared" si="0"/>
        <v>10.000079212000001</v>
      </c>
      <c r="K22">
        <f t="shared" si="1"/>
        <v>3.8200999999999909E-4</v>
      </c>
      <c r="L22">
        <f t="shared" si="2"/>
        <v>3.8201883892588732E-6</v>
      </c>
      <c r="M22">
        <v>10</v>
      </c>
      <c r="N22">
        <f t="shared" si="3"/>
        <v>7.9212000001493976</v>
      </c>
      <c r="O22">
        <f t="shared" si="4"/>
        <v>5.5044800001500063</v>
      </c>
    </row>
    <row r="23" spans="1:15" x14ac:dyDescent="0.25">
      <c r="A23" s="9">
        <v>44733.647194375</v>
      </c>
      <c r="B23" t="s">
        <v>48</v>
      </c>
      <c r="C23">
        <v>10.00017381</v>
      </c>
      <c r="D23" s="1">
        <v>1.44568323089247E-7</v>
      </c>
      <c r="E23">
        <v>4.4371999999999999E-4</v>
      </c>
      <c r="F23" s="1">
        <v>1.257616793781E-6</v>
      </c>
      <c r="G23">
        <v>1591.5</v>
      </c>
      <c r="H23">
        <v>15</v>
      </c>
      <c r="J23">
        <f t="shared" si="0"/>
        <v>10.000173712</v>
      </c>
      <c r="K23">
        <f t="shared" si="1"/>
        <v>4.1640000000000009E-4</v>
      </c>
      <c r="L23">
        <f t="shared" si="2"/>
        <v>4.1640569963708199E-6</v>
      </c>
      <c r="M23">
        <v>10</v>
      </c>
      <c r="N23">
        <f t="shared" si="3"/>
        <v>17.371200000004805</v>
      </c>
      <c r="O23">
        <f t="shared" si="4"/>
        <v>14.954480000005415</v>
      </c>
    </row>
    <row r="24" spans="1:15" x14ac:dyDescent="0.25">
      <c r="A24" s="9">
        <v>44733.648055694444</v>
      </c>
      <c r="B24" t="s">
        <v>49</v>
      </c>
      <c r="C24">
        <v>9.9999678690000007</v>
      </c>
      <c r="D24" s="1">
        <v>1.3360014987579701E-7</v>
      </c>
      <c r="E24">
        <v>4.0977E-4</v>
      </c>
      <c r="F24" s="1">
        <v>9.5503926620846909E-7</v>
      </c>
      <c r="G24">
        <v>1591.5</v>
      </c>
      <c r="H24">
        <v>15</v>
      </c>
      <c r="J24">
        <f t="shared" si="0"/>
        <v>9.9999677710000014</v>
      </c>
      <c r="K24">
        <f t="shared" si="1"/>
        <v>3.8245000000000011E-4</v>
      </c>
      <c r="L24">
        <f t="shared" si="2"/>
        <v>3.8246311127998049E-6</v>
      </c>
      <c r="M24">
        <v>10</v>
      </c>
      <c r="N24">
        <f t="shared" si="3"/>
        <v>-3.2228999998773489</v>
      </c>
      <c r="O24">
        <f t="shared" si="4"/>
        <v>-5.6396199998767402</v>
      </c>
    </row>
    <row r="25" spans="1:15" x14ac:dyDescent="0.25">
      <c r="A25" s="9">
        <v>44733.648857187502</v>
      </c>
      <c r="B25" t="s">
        <v>50</v>
      </c>
      <c r="C25">
        <v>10.000180439999999</v>
      </c>
      <c r="D25" s="1">
        <v>2.3748684141941E-7</v>
      </c>
      <c r="E25">
        <v>4.4367000000000001E-4</v>
      </c>
      <c r="F25" s="1">
        <v>9.3493315269061298E-7</v>
      </c>
      <c r="G25">
        <v>1591.5</v>
      </c>
      <c r="H25">
        <v>15</v>
      </c>
      <c r="J25">
        <f t="shared" si="0"/>
        <v>10.000180342</v>
      </c>
      <c r="K25">
        <f t="shared" si="1"/>
        <v>4.1635000000000012E-4</v>
      </c>
      <c r="L25">
        <f t="shared" si="2"/>
        <v>4.1635542291383723E-6</v>
      </c>
      <c r="M25">
        <v>10</v>
      </c>
      <c r="N25">
        <f t="shared" si="3"/>
        <v>18.034200000016654</v>
      </c>
      <c r="O25">
        <f t="shared" si="4"/>
        <v>15.617480000017263</v>
      </c>
    </row>
    <row r="26" spans="1:15" x14ac:dyDescent="0.25">
      <c r="A26" s="9">
        <v>44733.649706585646</v>
      </c>
      <c r="B26" t="s">
        <v>51</v>
      </c>
      <c r="C26">
        <v>10.00030228</v>
      </c>
      <c r="D26" s="1">
        <v>8.7177978830020795E-8</v>
      </c>
      <c r="E26">
        <v>4.3069000000000001E-4</v>
      </c>
      <c r="F26" s="1">
        <v>1.5326121492406301E-6</v>
      </c>
      <c r="G26">
        <v>1591.5</v>
      </c>
      <c r="H26">
        <v>15</v>
      </c>
      <c r="J26">
        <f t="shared" si="0"/>
        <v>10.000302182</v>
      </c>
      <c r="K26">
        <f t="shared" si="1"/>
        <v>4.0337000000000012E-4</v>
      </c>
      <c r="L26">
        <f t="shared" si="2"/>
        <v>4.0337033927515423E-6</v>
      </c>
      <c r="M26">
        <v>10</v>
      </c>
      <c r="N26">
        <f t="shared" si="3"/>
        <v>30.218200000042827</v>
      </c>
      <c r="O26">
        <f t="shared" si="4"/>
        <v>27.801480000043437</v>
      </c>
    </row>
    <row r="27" spans="1:15" x14ac:dyDescent="0.25">
      <c r="A27" s="9">
        <v>44733.650523483797</v>
      </c>
      <c r="B27" t="s">
        <v>53</v>
      </c>
      <c r="C27">
        <v>10.0002135499999</v>
      </c>
      <c r="D27" s="1">
        <v>9.2195444686968994E-8</v>
      </c>
      <c r="E27">
        <v>4.3131999999999898E-4</v>
      </c>
      <c r="F27" s="1">
        <v>1.27184904764676E-6</v>
      </c>
      <c r="G27">
        <v>1591.5</v>
      </c>
      <c r="H27">
        <v>15</v>
      </c>
      <c r="J27">
        <f t="shared" si="0"/>
        <v>10.000213451999901</v>
      </c>
      <c r="K27">
        <f t="shared" si="1"/>
        <v>4.0399999999999909E-4</v>
      </c>
      <c r="L27">
        <f t="shared" si="2"/>
        <v>4.0400392442355191E-6</v>
      </c>
      <c r="M27">
        <v>10</v>
      </c>
      <c r="N27">
        <f t="shared" si="3"/>
        <v>21.345199990197017</v>
      </c>
      <c r="O27">
        <f t="shared" si="4"/>
        <v>18.928479990197626</v>
      </c>
    </row>
    <row r="28" spans="1:15" x14ac:dyDescent="0.25">
      <c r="A28" s="9">
        <v>44733.651320914352</v>
      </c>
      <c r="B28" t="s">
        <v>54</v>
      </c>
      <c r="C28">
        <v>10.000336770000001</v>
      </c>
      <c r="D28" s="1">
        <v>1.61554944540639E-7</v>
      </c>
      <c r="E28">
        <v>4.3428999999999999E-4</v>
      </c>
      <c r="F28" s="1">
        <v>1.32472638684371E-6</v>
      </c>
      <c r="G28">
        <v>1591.5</v>
      </c>
      <c r="H28">
        <v>15</v>
      </c>
      <c r="J28">
        <f t="shared" si="0"/>
        <v>10.000336672000001</v>
      </c>
      <c r="K28">
        <f t="shared" si="1"/>
        <v>4.069700000000001E-4</v>
      </c>
      <c r="L28">
        <f t="shared" si="2"/>
        <v>4.0696893870966438E-6</v>
      </c>
      <c r="M28">
        <v>10</v>
      </c>
      <c r="N28">
        <f t="shared" si="3"/>
        <v>33.66720000008705</v>
      </c>
      <c r="O28">
        <f t="shared" si="4"/>
        <v>31.250480000087659</v>
      </c>
    </row>
    <row r="29" spans="1:15" x14ac:dyDescent="0.25">
      <c r="A29" s="9">
        <v>44733.652194641203</v>
      </c>
      <c r="B29" t="s">
        <v>55</v>
      </c>
      <c r="C29">
        <v>10.00039956</v>
      </c>
      <c r="D29" s="1">
        <v>1.68522995493407E-7</v>
      </c>
      <c r="E29">
        <v>4.2570999999999999E-4</v>
      </c>
      <c r="F29" s="1">
        <v>8.9044932477935498E-7</v>
      </c>
      <c r="G29">
        <v>1591.5</v>
      </c>
      <c r="H29">
        <v>15</v>
      </c>
      <c r="J29">
        <f t="shared" si="0"/>
        <v>10.000399462000001</v>
      </c>
      <c r="K29">
        <f t="shared" si="1"/>
        <v>3.9839000000000009E-4</v>
      </c>
      <c r="L29">
        <f t="shared" si="2"/>
        <v>3.9838645970009541E-6</v>
      </c>
      <c r="M29">
        <v>10</v>
      </c>
      <c r="N29">
        <f t="shared" si="3"/>
        <v>39.946200000029464</v>
      </c>
      <c r="O29">
        <f t="shared" si="4"/>
        <v>37.52948000003007</v>
      </c>
    </row>
    <row r="30" spans="1:15" x14ac:dyDescent="0.25">
      <c r="A30" s="9">
        <v>44733.653101909724</v>
      </c>
      <c r="B30" t="s">
        <v>56</v>
      </c>
      <c r="C30">
        <v>10.00020819</v>
      </c>
      <c r="D30" s="1">
        <v>1.0440306520323301E-7</v>
      </c>
      <c r="E30">
        <v>4.2112999999999997E-4</v>
      </c>
      <c r="F30" s="1">
        <v>6.6037867924396795E-7</v>
      </c>
      <c r="G30">
        <v>1591.5</v>
      </c>
      <c r="H30">
        <v>15</v>
      </c>
      <c r="J30">
        <f t="shared" si="0"/>
        <v>10.000208092000001</v>
      </c>
      <c r="K30">
        <f t="shared" si="1"/>
        <v>3.9381000000000008E-4</v>
      </c>
      <c r="L30">
        <f t="shared" si="2"/>
        <v>3.938140365185254E-6</v>
      </c>
      <c r="M30">
        <v>10</v>
      </c>
      <c r="N30">
        <f t="shared" si="3"/>
        <v>20.809200000027062</v>
      </c>
      <c r="O30">
        <f t="shared" si="4"/>
        <v>18.392480000027671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F072-702F-4895-8F49-3F4F290A95FF}">
  <dimension ref="A1:P33"/>
  <sheetViews>
    <sheetView workbookViewId="0">
      <selection activeCell="A3" sqref="A3"/>
    </sheetView>
  </sheetViews>
  <sheetFormatPr defaultRowHeight="15" x14ac:dyDescent="0.25"/>
  <cols>
    <col min="1" max="1" width="15.28515625" customWidth="1"/>
    <col min="9" max="9" width="54.140625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-2.4255599989544594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20">
        <v>44746.409342893516</v>
      </c>
      <c r="B3" t="s">
        <v>17</v>
      </c>
      <c r="C3" s="1">
        <v>-8.6000000000000002E-8</v>
      </c>
      <c r="D3" s="1">
        <v>7.0597450378891097E-8</v>
      </c>
      <c r="E3" s="1">
        <v>2.6789999999999999E-5</v>
      </c>
      <c r="F3" s="1">
        <v>8.2758685344802196E-7</v>
      </c>
      <c r="G3">
        <v>1591.5</v>
      </c>
      <c r="H3">
        <v>15</v>
      </c>
      <c r="I3" t="s">
        <v>102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9">
        <v>44746.411524108793</v>
      </c>
      <c r="B4" t="s">
        <v>21</v>
      </c>
      <c r="C4">
        <v>9.9999758189999994</v>
      </c>
      <c r="D4" s="1">
        <v>1.3299999998704999E-7</v>
      </c>
      <c r="E4">
        <v>-1.4275E-4</v>
      </c>
      <c r="F4" s="1">
        <v>1.4291605927956401E-6</v>
      </c>
      <c r="G4">
        <v>1591.5</v>
      </c>
      <c r="H4">
        <v>15</v>
      </c>
      <c r="J4">
        <f t="shared" ref="J4:J30" si="0">C4-C$3</f>
        <v>9.9999759049999994</v>
      </c>
      <c r="K4">
        <f>E4-E$3</f>
        <v>-1.6954000000000001E-4</v>
      </c>
      <c r="L4">
        <f>K4*0.000000001/(2*PI()*J4*G4*0.000000000001)</f>
        <v>-1.695456743186054E-6</v>
      </c>
      <c r="M4">
        <v>10</v>
      </c>
      <c r="N4">
        <f>(J4/M4-1)*1000000</f>
        <v>-2.409500000077891</v>
      </c>
      <c r="O4">
        <f>N4+P$1</f>
        <v>-4.8350599990323504</v>
      </c>
    </row>
    <row r="5" spans="1:16" x14ac:dyDescent="0.25">
      <c r="A5" s="9">
        <v>44746.412698391207</v>
      </c>
      <c r="B5" t="s">
        <v>23</v>
      </c>
      <c r="C5">
        <v>9.9999783139999998</v>
      </c>
      <c r="D5" s="1">
        <v>5.44426299526095E-8</v>
      </c>
      <c r="E5">
        <v>-1.019E-4</v>
      </c>
      <c r="F5" s="1">
        <v>8.6023252670426298E-7</v>
      </c>
      <c r="G5">
        <v>1591.5</v>
      </c>
      <c r="H5">
        <v>15</v>
      </c>
      <c r="J5">
        <f t="shared" si="0"/>
        <v>9.9999783999999998</v>
      </c>
      <c r="K5">
        <f t="shared" ref="K5:K30" si="1">E5-E$3</f>
        <v>-1.2868999999999999E-4</v>
      </c>
      <c r="L5">
        <f t="shared" ref="L5:L30" si="2">K5*0.000000001/(2*PI()*J5*G5*0.000000000001)</f>
        <v>-1.2869427500442833E-6</v>
      </c>
      <c r="M5">
        <v>10</v>
      </c>
      <c r="N5">
        <f t="shared" ref="N5:N30" si="3">(J5/M5-1)*1000000</f>
        <v>-2.1599999999732944</v>
      </c>
      <c r="O5">
        <f t="shared" ref="O5:O30" si="4">N5+P$1</f>
        <v>-4.5855599989277538</v>
      </c>
    </row>
    <row r="6" spans="1:16" x14ac:dyDescent="0.25">
      <c r="A6" s="9">
        <v>44746.416678634261</v>
      </c>
      <c r="B6" t="s">
        <v>24</v>
      </c>
      <c r="C6">
        <v>99.999822469999899</v>
      </c>
      <c r="D6" s="1">
        <v>7.8102494487632406E-8</v>
      </c>
      <c r="E6">
        <v>1.7445E-3</v>
      </c>
      <c r="F6" s="1">
        <v>1.1180339887498799E-6</v>
      </c>
      <c r="G6">
        <v>1591.5</v>
      </c>
      <c r="H6">
        <v>15</v>
      </c>
      <c r="J6">
        <f t="shared" si="0"/>
        <v>99.999822555999899</v>
      </c>
      <c r="K6">
        <f t="shared" si="1"/>
        <v>1.7177099999999999E-3</v>
      </c>
      <c r="L6">
        <f t="shared" si="2"/>
        <v>1.7177663989900275E-6</v>
      </c>
      <c r="M6">
        <v>100</v>
      </c>
      <c r="N6">
        <f t="shared" si="3"/>
        <v>-1.7744400010455408</v>
      </c>
      <c r="O6">
        <f t="shared" si="4"/>
        <v>-4.2</v>
      </c>
    </row>
    <row r="7" spans="1:16" x14ac:dyDescent="0.25">
      <c r="A7" s="9">
        <v>44746.417709837966</v>
      </c>
      <c r="B7" t="s">
        <v>25</v>
      </c>
      <c r="C7">
        <v>99.999817409999906</v>
      </c>
      <c r="D7" s="1">
        <v>1.22065556827078E-7</v>
      </c>
      <c r="E7">
        <v>2.1272999999999999E-3</v>
      </c>
      <c r="F7" s="1">
        <v>1.1874342087037999E-6</v>
      </c>
      <c r="G7">
        <v>1591.5</v>
      </c>
      <c r="H7">
        <v>15</v>
      </c>
      <c r="J7">
        <f t="shared" si="0"/>
        <v>99.999817495999906</v>
      </c>
      <c r="K7">
        <f t="shared" si="1"/>
        <v>2.1005099999999999E-3</v>
      </c>
      <c r="L7">
        <f t="shared" si="2"/>
        <v>2.1005790740678354E-6</v>
      </c>
      <c r="M7">
        <v>100</v>
      </c>
      <c r="N7">
        <f t="shared" si="3"/>
        <v>-1.8250400009023338</v>
      </c>
      <c r="O7">
        <f t="shared" si="4"/>
        <v>-4.2505999998567932</v>
      </c>
    </row>
    <row r="8" spans="1:16" x14ac:dyDescent="0.25">
      <c r="A8" s="9">
        <v>44746.419728425928</v>
      </c>
      <c r="B8" t="s">
        <v>26</v>
      </c>
      <c r="C8">
        <v>9.9999755540000006</v>
      </c>
      <c r="D8" s="1">
        <v>4.4090815456676098E-8</v>
      </c>
      <c r="E8">
        <v>-2.4532999999999998E-4</v>
      </c>
      <c r="F8" s="1">
        <v>8.0876448982382904E-7</v>
      </c>
      <c r="G8">
        <v>1591.5</v>
      </c>
      <c r="H8">
        <v>15</v>
      </c>
      <c r="I8" t="s">
        <v>103</v>
      </c>
      <c r="J8">
        <f t="shared" si="0"/>
        <v>9.9999756400000006</v>
      </c>
      <c r="K8">
        <f t="shared" si="1"/>
        <v>-2.7211999999999999E-4</v>
      </c>
      <c r="L8">
        <f t="shared" si="2"/>
        <v>-2.7212911477059247E-6</v>
      </c>
      <c r="M8">
        <v>10</v>
      </c>
      <c r="N8">
        <f t="shared" si="3"/>
        <v>-2.4359999999390425</v>
      </c>
      <c r="O8">
        <f t="shared" si="4"/>
        <v>-4.8615599988935019</v>
      </c>
    </row>
    <row r="9" spans="1:16" x14ac:dyDescent="0.25">
      <c r="A9" s="9">
        <v>44746.423921168978</v>
      </c>
      <c r="B9" t="s">
        <v>28</v>
      </c>
      <c r="C9">
        <v>9.9999731220000001</v>
      </c>
      <c r="D9" s="1">
        <v>1.0390380166055E-7</v>
      </c>
      <c r="E9">
        <v>-2.0693E-4</v>
      </c>
      <c r="F9" s="1">
        <v>7.6295478240849998E-7</v>
      </c>
      <c r="G9">
        <v>1591.5</v>
      </c>
      <c r="H9">
        <v>15</v>
      </c>
      <c r="I9" t="s">
        <v>104</v>
      </c>
      <c r="J9">
        <f t="shared" si="0"/>
        <v>9.9999732080000001</v>
      </c>
      <c r="K9">
        <f t="shared" si="1"/>
        <v>-2.3372000000000001E-4</v>
      </c>
      <c r="L9">
        <f t="shared" si="2"/>
        <v>-2.3372788538966186E-6</v>
      </c>
      <c r="M9">
        <v>10</v>
      </c>
      <c r="N9">
        <f t="shared" si="3"/>
        <v>-2.679199999966464</v>
      </c>
      <c r="O9">
        <f t="shared" si="4"/>
        <v>-5.1047599989209234</v>
      </c>
    </row>
    <row r="10" spans="1:16" x14ac:dyDescent="0.25">
      <c r="A10" s="9">
        <v>44746.427627824072</v>
      </c>
      <c r="B10" t="s">
        <v>29</v>
      </c>
      <c r="C10">
        <v>99.999783039999997</v>
      </c>
      <c r="D10" s="1">
        <v>3.4698703362894298E-7</v>
      </c>
      <c r="E10">
        <v>8.3149999999999999E-4</v>
      </c>
      <c r="F10" s="1">
        <v>1.2041594578792101E-6</v>
      </c>
      <c r="G10">
        <v>1591.5</v>
      </c>
      <c r="H10">
        <v>15</v>
      </c>
      <c r="I10" t="s">
        <v>105</v>
      </c>
      <c r="J10">
        <f t="shared" si="0"/>
        <v>99.999783125999997</v>
      </c>
      <c r="K10">
        <f t="shared" si="1"/>
        <v>8.0471000000000004E-4</v>
      </c>
      <c r="L10">
        <f t="shared" si="2"/>
        <v>8.0473673901580243E-7</v>
      </c>
      <c r="M10">
        <v>100</v>
      </c>
      <c r="N10">
        <f t="shared" si="3"/>
        <v>-2.1687400000303114</v>
      </c>
      <c r="O10">
        <f t="shared" si="4"/>
        <v>-4.5942999989847708</v>
      </c>
    </row>
    <row r="11" spans="1:16" x14ac:dyDescent="0.25">
      <c r="A11" s="9">
        <v>44746.434872789352</v>
      </c>
      <c r="B11" t="s">
        <v>30</v>
      </c>
      <c r="C11">
        <v>99.999858450000005</v>
      </c>
      <c r="D11" s="1">
        <v>1.11803401134828E-7</v>
      </c>
      <c r="E11">
        <v>9.1290000000000002E-4</v>
      </c>
      <c r="F11" s="1">
        <v>1.13578166916003E-6</v>
      </c>
      <c r="G11">
        <v>1591.5</v>
      </c>
      <c r="H11">
        <v>15</v>
      </c>
      <c r="J11">
        <f t="shared" si="0"/>
        <v>99.999858536000005</v>
      </c>
      <c r="K11">
        <f t="shared" si="1"/>
        <v>8.8611000000000007E-4</v>
      </c>
      <c r="L11">
        <f t="shared" si="2"/>
        <v>8.8613877554762398E-7</v>
      </c>
      <c r="M11">
        <v>100</v>
      </c>
      <c r="N11">
        <f t="shared" si="3"/>
        <v>-1.4146399999193093</v>
      </c>
      <c r="O11">
        <f t="shared" si="4"/>
        <v>-3.8401999988737687</v>
      </c>
    </row>
    <row r="12" spans="1:16" x14ac:dyDescent="0.25">
      <c r="A12" s="9">
        <v>44746.437255046294</v>
      </c>
      <c r="B12" t="s">
        <v>31</v>
      </c>
      <c r="C12">
        <v>10.00020299</v>
      </c>
      <c r="D12" s="1">
        <v>9.4339811443904304E-8</v>
      </c>
      <c r="E12">
        <v>9.2471999999999997E-4</v>
      </c>
      <c r="F12" s="1">
        <v>8.0349237706402701E-7</v>
      </c>
      <c r="G12">
        <v>1591.5</v>
      </c>
      <c r="H12">
        <v>15</v>
      </c>
      <c r="J12">
        <f t="shared" si="0"/>
        <v>10.000203076</v>
      </c>
      <c r="K12">
        <f t="shared" si="1"/>
        <v>8.9793000000000002E-4</v>
      </c>
      <c r="L12">
        <f t="shared" si="2"/>
        <v>8.9793965410219221E-6</v>
      </c>
      <c r="M12">
        <v>10</v>
      </c>
      <c r="N12">
        <f t="shared" si="3"/>
        <v>20.307600000046833</v>
      </c>
      <c r="O12">
        <f t="shared" si="4"/>
        <v>17.882040001092374</v>
      </c>
    </row>
    <row r="13" spans="1:16" x14ac:dyDescent="0.25">
      <c r="A13" s="9">
        <v>44746.439376840281</v>
      </c>
      <c r="B13" t="s">
        <v>33</v>
      </c>
      <c r="C13">
        <v>100.004098</v>
      </c>
      <c r="D13">
        <v>0</v>
      </c>
      <c r="E13">
        <v>8.4246000000000008E-3</v>
      </c>
      <c r="F13" s="1">
        <v>1.2206555615733101E-6</v>
      </c>
      <c r="G13">
        <v>1591.5</v>
      </c>
      <c r="H13">
        <v>15</v>
      </c>
      <c r="J13">
        <f t="shared" si="0"/>
        <v>100.004098086</v>
      </c>
      <c r="K13">
        <f t="shared" si="1"/>
        <v>8.3978100000000003E-3</v>
      </c>
      <c r="L13">
        <f t="shared" si="2"/>
        <v>8.397726684265482E-6</v>
      </c>
      <c r="M13">
        <v>100</v>
      </c>
      <c r="N13">
        <f t="shared" si="3"/>
        <v>40.980859999928398</v>
      </c>
      <c r="O13">
        <f t="shared" si="4"/>
        <v>38.555300000973936</v>
      </c>
    </row>
    <row r="14" spans="1:16" x14ac:dyDescent="0.25">
      <c r="A14" s="9">
        <v>44746.440807361112</v>
      </c>
      <c r="B14" t="s">
        <v>34</v>
      </c>
      <c r="C14">
        <v>1000.0328040000001</v>
      </c>
      <c r="D14" s="1">
        <v>4.8989795288925697E-6</v>
      </c>
      <c r="E14">
        <v>0.19057199999999999</v>
      </c>
      <c r="F14" s="1">
        <v>3.5440090293335098E-5</v>
      </c>
      <c r="G14">
        <v>1591.5</v>
      </c>
      <c r="H14">
        <v>1.5</v>
      </c>
      <c r="J14">
        <f t="shared" si="0"/>
        <v>1000.0328040860001</v>
      </c>
      <c r="K14">
        <f t="shared" si="1"/>
        <v>0.19054520999999999</v>
      </c>
      <c r="L14">
        <f t="shared" si="2"/>
        <v>1.9054487755543943E-5</v>
      </c>
      <c r="M14">
        <v>1000</v>
      </c>
      <c r="N14">
        <f t="shared" si="3"/>
        <v>32.804086000037813</v>
      </c>
      <c r="O14">
        <f t="shared" si="4"/>
        <v>30.378526001083355</v>
      </c>
    </row>
    <row r="15" spans="1:16" x14ac:dyDescent="0.25">
      <c r="A15" s="9">
        <v>44746.445510949074</v>
      </c>
      <c r="B15" t="s">
        <v>35</v>
      </c>
      <c r="C15">
        <v>1000.01658199999</v>
      </c>
      <c r="D15" s="1">
        <v>3.99999998990097E-6</v>
      </c>
      <c r="E15">
        <v>0.196023</v>
      </c>
      <c r="F15" s="1">
        <v>2.4515301344262401E-5</v>
      </c>
      <c r="G15">
        <v>1591.5</v>
      </c>
      <c r="H15">
        <v>1.5</v>
      </c>
      <c r="J15">
        <f t="shared" si="0"/>
        <v>1000.01658208599</v>
      </c>
      <c r="K15">
        <f t="shared" si="1"/>
        <v>0.19599621</v>
      </c>
      <c r="L15">
        <f t="shared" si="2"/>
        <v>1.9599904743732268E-5</v>
      </c>
      <c r="M15">
        <v>1000</v>
      </c>
      <c r="N15">
        <f t="shared" si="3"/>
        <v>16.5820859898691</v>
      </c>
      <c r="O15">
        <f t="shared" si="4"/>
        <v>14.156525990914641</v>
      </c>
    </row>
    <row r="16" spans="1:16" x14ac:dyDescent="0.25">
      <c r="A16" s="9">
        <v>44746.450021226854</v>
      </c>
      <c r="B16" t="s">
        <v>36</v>
      </c>
      <c r="C16">
        <v>4.9999554249999996</v>
      </c>
      <c r="D16" s="1">
        <v>8.5702975363852504E-8</v>
      </c>
      <c r="E16">
        <v>2.4886999999999999E-4</v>
      </c>
      <c r="F16" s="1">
        <v>1.05266328899606E-6</v>
      </c>
      <c r="G16">
        <v>1591.5</v>
      </c>
      <c r="H16">
        <v>15</v>
      </c>
      <c r="J16">
        <f t="shared" si="0"/>
        <v>4.9999555109999996</v>
      </c>
      <c r="K16">
        <f t="shared" si="1"/>
        <v>2.2207999999999999E-4</v>
      </c>
      <c r="L16">
        <f t="shared" si="2"/>
        <v>4.4417774751545142E-6</v>
      </c>
      <c r="M16">
        <v>5</v>
      </c>
      <c r="N16">
        <f t="shared" si="3"/>
        <v>-8.8978000001294077</v>
      </c>
      <c r="O16">
        <f t="shared" si="4"/>
        <v>-11.323359999083866</v>
      </c>
    </row>
    <row r="17" spans="1:15" x14ac:dyDescent="0.25">
      <c r="A17" s="9">
        <v>44746.475486828705</v>
      </c>
      <c r="B17" t="s">
        <v>38</v>
      </c>
      <c r="C17">
        <v>5.0001012400000002</v>
      </c>
      <c r="D17" s="1">
        <v>4.4721359417224897E-8</v>
      </c>
      <c r="E17" s="1">
        <v>2.0579999999999999E-5</v>
      </c>
      <c r="F17" s="1">
        <v>3.7687663764154898E-6</v>
      </c>
      <c r="G17">
        <v>1591.5</v>
      </c>
      <c r="H17">
        <v>15</v>
      </c>
      <c r="J17">
        <f t="shared" si="0"/>
        <v>5.0001013260000002</v>
      </c>
      <c r="K17">
        <f t="shared" si="1"/>
        <v>-6.2099999999999998E-6</v>
      </c>
      <c r="L17">
        <f t="shared" si="2"/>
        <v>-1.2420134060340838E-7</v>
      </c>
      <c r="M17">
        <v>5</v>
      </c>
      <c r="N17">
        <f t="shared" si="3"/>
        <v>20.265200000091355</v>
      </c>
      <c r="O17">
        <f t="shared" si="4"/>
        <v>17.839640001136896</v>
      </c>
    </row>
    <row r="18" spans="1:15" x14ac:dyDescent="0.25">
      <c r="A18" s="9">
        <v>44746.481866423608</v>
      </c>
      <c r="B18" t="s">
        <v>40</v>
      </c>
      <c r="C18">
        <v>0.50005186499999998</v>
      </c>
      <c r="D18" s="1">
        <v>1.8816216411080901E-7</v>
      </c>
      <c r="E18" s="1">
        <v>7.4690000000000005E-5</v>
      </c>
      <c r="F18" s="1">
        <v>6.4567793829431698E-7</v>
      </c>
      <c r="G18">
        <v>1591.5</v>
      </c>
      <c r="H18">
        <v>15</v>
      </c>
      <c r="J18">
        <f t="shared" si="0"/>
        <v>0.50005195099999999</v>
      </c>
      <c r="K18">
        <f t="shared" si="1"/>
        <v>4.7900000000000006E-5</v>
      </c>
      <c r="L18">
        <f t="shared" si="2"/>
        <v>9.5793022396915508E-6</v>
      </c>
      <c r="M18">
        <v>0.5</v>
      </c>
      <c r="N18">
        <f t="shared" si="3"/>
        <v>103.90199999998906</v>
      </c>
      <c r="O18">
        <f t="shared" si="4"/>
        <v>101.4764400010346</v>
      </c>
    </row>
    <row r="19" spans="1:15" x14ac:dyDescent="0.25">
      <c r="A19" s="9">
        <v>44746.484320648146</v>
      </c>
      <c r="B19" t="s">
        <v>42</v>
      </c>
      <c r="C19">
        <v>1000.156533</v>
      </c>
      <c r="D19" s="1">
        <v>4.5825756833859404E-6</v>
      </c>
      <c r="E19">
        <v>0.138401999999999</v>
      </c>
      <c r="F19" s="1">
        <v>6.2737548565435406E-5</v>
      </c>
      <c r="G19">
        <v>1591.5</v>
      </c>
      <c r="H19">
        <v>1.5</v>
      </c>
      <c r="I19" t="s">
        <v>106</v>
      </c>
      <c r="J19">
        <f t="shared" si="0"/>
        <v>1000.156533086</v>
      </c>
      <c r="K19">
        <f t="shared" si="1"/>
        <v>0.138375209999999</v>
      </c>
      <c r="L19">
        <f t="shared" si="2"/>
        <v>1.3835785025962447E-5</v>
      </c>
      <c r="M19">
        <v>1000</v>
      </c>
      <c r="N19">
        <f t="shared" si="3"/>
        <v>156.53308600005465</v>
      </c>
      <c r="O19">
        <f t="shared" si="4"/>
        <v>154.10752600110018</v>
      </c>
    </row>
    <row r="20" spans="1:15" x14ac:dyDescent="0.25">
      <c r="A20" s="9">
        <v>44746.490914618058</v>
      </c>
      <c r="B20" t="s">
        <v>44</v>
      </c>
      <c r="C20">
        <v>10.0007</v>
      </c>
      <c r="D20">
        <v>2.2941883096193699E-4</v>
      </c>
      <c r="E20">
        <v>2.1700000000000001E-3</v>
      </c>
      <c r="F20">
        <v>3.8194240403495298E-4</v>
      </c>
      <c r="G20">
        <v>1591.5</v>
      </c>
      <c r="H20">
        <v>15</v>
      </c>
      <c r="I20" t="s">
        <v>107</v>
      </c>
      <c r="J20">
        <f t="shared" si="0"/>
        <v>10.000700086</v>
      </c>
      <c r="K20">
        <f t="shared" si="1"/>
        <v>2.14321E-3</v>
      </c>
      <c r="L20">
        <f t="shared" si="2"/>
        <v>2.14312652937232E-5</v>
      </c>
      <c r="M20">
        <v>10</v>
      </c>
      <c r="N20">
        <f t="shared" si="3"/>
        <v>70.008600000059928</v>
      </c>
      <c r="O20">
        <f t="shared" si="4"/>
        <v>67.583040001105473</v>
      </c>
    </row>
    <row r="21" spans="1:15" x14ac:dyDescent="0.25">
      <c r="A21" s="9">
        <v>44746.493716435187</v>
      </c>
      <c r="B21" t="s">
        <v>46</v>
      </c>
      <c r="C21">
        <v>10.00028934</v>
      </c>
      <c r="D21" s="1">
        <v>1.6457217260136E-6</v>
      </c>
      <c r="E21">
        <v>2.0945999999999998E-3</v>
      </c>
      <c r="F21" s="1">
        <v>1.04994285558786E-5</v>
      </c>
      <c r="G21">
        <v>1591.5</v>
      </c>
      <c r="H21">
        <v>15</v>
      </c>
      <c r="J21">
        <f t="shared" si="0"/>
        <v>10.000289426</v>
      </c>
      <c r="K21">
        <f t="shared" si="1"/>
        <v>2.0678099999999998E-3</v>
      </c>
      <c r="L21">
        <f t="shared" si="2"/>
        <v>2.067814376862623E-5</v>
      </c>
      <c r="M21">
        <v>10</v>
      </c>
      <c r="N21">
        <f t="shared" si="3"/>
        <v>28.942599999970398</v>
      </c>
      <c r="O21">
        <f t="shared" si="4"/>
        <v>26.517040001015939</v>
      </c>
    </row>
    <row r="22" spans="1:15" x14ac:dyDescent="0.25">
      <c r="A22" s="9">
        <v>44746.506182048608</v>
      </c>
      <c r="B22" t="s">
        <v>47</v>
      </c>
      <c r="C22">
        <v>10.000196669999999</v>
      </c>
      <c r="D22" s="1">
        <v>5.5865910869118401E-7</v>
      </c>
      <c r="E22">
        <v>1.5984700000000001E-3</v>
      </c>
      <c r="F22" s="1">
        <v>5.1501553374631198E-6</v>
      </c>
      <c r="G22">
        <v>1591.5</v>
      </c>
      <c r="H22">
        <v>15</v>
      </c>
      <c r="J22">
        <f t="shared" si="0"/>
        <v>10.000196755999999</v>
      </c>
      <c r="K22">
        <f t="shared" si="1"/>
        <v>1.57168E-3</v>
      </c>
      <c r="L22">
        <f t="shared" si="2"/>
        <v>1.5716978912240635E-5</v>
      </c>
      <c r="M22">
        <v>10</v>
      </c>
      <c r="N22">
        <f t="shared" si="3"/>
        <v>19.6755999999354</v>
      </c>
      <c r="O22">
        <f t="shared" si="4"/>
        <v>17.250040000980942</v>
      </c>
    </row>
    <row r="23" spans="1:15" x14ac:dyDescent="0.25">
      <c r="A23" s="9">
        <v>44746.507651099535</v>
      </c>
      <c r="B23" t="s">
        <v>48</v>
      </c>
      <c r="C23">
        <v>10.00026909</v>
      </c>
      <c r="D23" s="1">
        <v>2.7367864334188299E-7</v>
      </c>
      <c r="E23">
        <v>1.4520099999999899E-3</v>
      </c>
      <c r="F23" s="1">
        <v>2.5590818666076401E-6</v>
      </c>
      <c r="G23">
        <v>1591.5</v>
      </c>
      <c r="H23">
        <v>15</v>
      </c>
      <c r="J23">
        <f t="shared" si="0"/>
        <v>10.000269176</v>
      </c>
      <c r="K23">
        <f t="shared" si="1"/>
        <v>1.4252199999999899E-3</v>
      </c>
      <c r="L23">
        <f t="shared" si="2"/>
        <v>1.4252259027132875E-5</v>
      </c>
      <c r="M23">
        <v>10</v>
      </c>
      <c r="N23">
        <f t="shared" si="3"/>
        <v>26.917600000064823</v>
      </c>
      <c r="O23">
        <f t="shared" si="4"/>
        <v>24.492040001110364</v>
      </c>
    </row>
    <row r="24" spans="1:15" x14ac:dyDescent="0.25">
      <c r="A24" s="9">
        <v>44746.510950543983</v>
      </c>
      <c r="B24" t="s">
        <v>49</v>
      </c>
      <c r="C24">
        <v>10.000057459999899</v>
      </c>
      <c r="D24" s="1">
        <v>1.85472369893698E-7</v>
      </c>
      <c r="E24">
        <v>1.3615599999999999E-3</v>
      </c>
      <c r="F24" s="1">
        <v>2.1795412361320098E-6</v>
      </c>
      <c r="G24">
        <v>1591.5</v>
      </c>
      <c r="H24">
        <v>15</v>
      </c>
      <c r="J24">
        <f t="shared" si="0"/>
        <v>10.000057545999899</v>
      </c>
      <c r="K24">
        <f t="shared" si="1"/>
        <v>1.3347699999999999E-3</v>
      </c>
      <c r="L24">
        <f t="shared" si="2"/>
        <v>1.3348037757961327E-5</v>
      </c>
      <c r="M24">
        <v>10</v>
      </c>
      <c r="N24">
        <f t="shared" si="3"/>
        <v>5.7545999898600542</v>
      </c>
      <c r="O24">
        <f t="shared" si="4"/>
        <v>3.3290399909055948</v>
      </c>
    </row>
    <row r="25" spans="1:15" x14ac:dyDescent="0.25">
      <c r="A25" s="9">
        <v>44746.512899837966</v>
      </c>
      <c r="B25" t="s">
        <v>50</v>
      </c>
      <c r="C25">
        <v>10.0002640899999</v>
      </c>
      <c r="D25" s="1">
        <v>1.2964952757928501E-6</v>
      </c>
      <c r="E25">
        <v>1.35008E-3</v>
      </c>
      <c r="F25" s="1">
        <v>1.0849589853999001E-5</v>
      </c>
      <c r="G25">
        <v>1591.5</v>
      </c>
      <c r="H25">
        <v>15</v>
      </c>
      <c r="J25">
        <f t="shared" si="0"/>
        <v>10.0002641759999</v>
      </c>
      <c r="K25">
        <f t="shared" si="1"/>
        <v>1.32329E-3</v>
      </c>
      <c r="L25">
        <f t="shared" si="2"/>
        <v>1.3232961421887008E-5</v>
      </c>
      <c r="M25">
        <v>10</v>
      </c>
      <c r="N25">
        <f t="shared" si="3"/>
        <v>26.417599990002927</v>
      </c>
      <c r="O25">
        <f t="shared" si="4"/>
        <v>23.992039991048468</v>
      </c>
    </row>
    <row r="26" spans="1:15" x14ac:dyDescent="0.25">
      <c r="A26" s="9">
        <v>44746.513721319447</v>
      </c>
      <c r="B26" t="s">
        <v>51</v>
      </c>
      <c r="C26">
        <v>10.000376040000001</v>
      </c>
      <c r="D26" s="1">
        <v>2.9732137489592101E-7</v>
      </c>
      <c r="E26">
        <v>1.2430399999999999E-3</v>
      </c>
      <c r="F26" s="1">
        <v>4.8604938020739702E-6</v>
      </c>
      <c r="G26">
        <v>1591.5</v>
      </c>
      <c r="H26">
        <v>15</v>
      </c>
      <c r="J26">
        <f t="shared" si="0"/>
        <v>10.000376126000001</v>
      </c>
      <c r="K26">
        <f t="shared" si="1"/>
        <v>1.2162499999999999E-3</v>
      </c>
      <c r="L26">
        <f t="shared" si="2"/>
        <v>1.2162420298815157E-5</v>
      </c>
      <c r="M26">
        <v>10</v>
      </c>
      <c r="N26">
        <f t="shared" si="3"/>
        <v>37.61260000012534</v>
      </c>
      <c r="O26">
        <f t="shared" si="4"/>
        <v>35.187040001170878</v>
      </c>
    </row>
    <row r="27" spans="1:15" x14ac:dyDescent="0.25">
      <c r="A27" s="9">
        <v>44746.514720162035</v>
      </c>
      <c r="B27" t="s">
        <v>53</v>
      </c>
      <c r="C27">
        <v>10.000284199999999</v>
      </c>
      <c r="D27" s="1">
        <v>1.61245155087657E-7</v>
      </c>
      <c r="E27">
        <v>1.2129999999999899E-3</v>
      </c>
      <c r="F27" s="1">
        <v>2.4915858403835601E-6</v>
      </c>
      <c r="G27">
        <v>1591.5</v>
      </c>
      <c r="H27">
        <v>15</v>
      </c>
      <c r="J27">
        <f t="shared" si="0"/>
        <v>10.000284285999999</v>
      </c>
      <c r="K27">
        <f t="shared" si="1"/>
        <v>1.1862099999999899E-3</v>
      </c>
      <c r="L27">
        <f t="shared" si="2"/>
        <v>1.1862131205059776E-5</v>
      </c>
      <c r="M27">
        <v>10</v>
      </c>
      <c r="N27">
        <f t="shared" si="3"/>
        <v>28.428599999852366</v>
      </c>
      <c r="O27">
        <f t="shared" si="4"/>
        <v>26.003040000897908</v>
      </c>
    </row>
    <row r="28" spans="1:15" x14ac:dyDescent="0.25">
      <c r="A28" s="9">
        <v>44746.515466608798</v>
      </c>
      <c r="B28" t="s">
        <v>54</v>
      </c>
      <c r="C28">
        <v>10.00040012</v>
      </c>
      <c r="D28" s="1">
        <v>1.8330302753700701E-7</v>
      </c>
      <c r="E28">
        <v>1.13695999999999E-3</v>
      </c>
      <c r="F28" s="1">
        <v>1.37491817938381E-6</v>
      </c>
      <c r="G28">
        <v>1591.5</v>
      </c>
      <c r="H28">
        <v>15</v>
      </c>
      <c r="J28">
        <f t="shared" si="0"/>
        <v>10.000400206</v>
      </c>
      <c r="K28">
        <f t="shared" si="1"/>
        <v>1.11016999999999E-3</v>
      </c>
      <c r="L28">
        <f t="shared" si="2"/>
        <v>1.110160051861697E-5</v>
      </c>
      <c r="M28">
        <v>10</v>
      </c>
      <c r="N28">
        <f t="shared" si="3"/>
        <v>40.020599999968098</v>
      </c>
      <c r="O28">
        <f t="shared" si="4"/>
        <v>37.595040001013636</v>
      </c>
    </row>
    <row r="29" spans="1:15" x14ac:dyDescent="0.25">
      <c r="A29" s="9">
        <v>44746.51638818287</v>
      </c>
      <c r="B29" t="s">
        <v>55</v>
      </c>
      <c r="C29">
        <v>10.00045896</v>
      </c>
      <c r="D29" s="1">
        <v>1.90787839999081E-7</v>
      </c>
      <c r="E29">
        <v>1.09092E-3</v>
      </c>
      <c r="F29" s="1">
        <v>1.6642115250171701E-6</v>
      </c>
      <c r="G29">
        <v>1591.5</v>
      </c>
      <c r="H29">
        <v>15</v>
      </c>
      <c r="J29">
        <f t="shared" si="0"/>
        <v>10.000459046</v>
      </c>
      <c r="K29">
        <f t="shared" si="1"/>
        <v>1.0641299999999999E-3</v>
      </c>
      <c r="L29">
        <f t="shared" si="2"/>
        <v>1.0641142034248001E-5</v>
      </c>
      <c r="M29">
        <v>10</v>
      </c>
      <c r="N29">
        <f t="shared" si="3"/>
        <v>45.904599999868623</v>
      </c>
      <c r="O29">
        <f t="shared" si="4"/>
        <v>43.479040000914161</v>
      </c>
    </row>
    <row r="30" spans="1:15" x14ac:dyDescent="0.25">
      <c r="A30" s="9">
        <v>44746.517267673611</v>
      </c>
      <c r="B30" t="s">
        <v>56</v>
      </c>
      <c r="C30">
        <v>10.00026602</v>
      </c>
      <c r="D30" s="1">
        <v>1.9390719412588199E-7</v>
      </c>
      <c r="E30">
        <v>1.0754899999999899E-3</v>
      </c>
      <c r="F30" s="1">
        <v>8.4787970844923604E-7</v>
      </c>
      <c r="G30">
        <v>1591.5</v>
      </c>
      <c r="H30">
        <v>15</v>
      </c>
      <c r="I30" t="s">
        <v>108</v>
      </c>
      <c r="J30">
        <f t="shared" si="0"/>
        <v>10.000266106</v>
      </c>
      <c r="K30">
        <f t="shared" si="1"/>
        <v>1.0486999999999899E-3</v>
      </c>
      <c r="L30">
        <f t="shared" si="2"/>
        <v>1.0487046652558713E-5</v>
      </c>
      <c r="M30">
        <v>10</v>
      </c>
      <c r="N30">
        <f t="shared" si="3"/>
        <v>26.610599999976614</v>
      </c>
      <c r="O30">
        <f t="shared" si="4"/>
        <v>24.185040001022156</v>
      </c>
    </row>
    <row r="33" spans="3:8" x14ac:dyDescent="0.25">
      <c r="C33">
        <v>9.9999731220000001</v>
      </c>
      <c r="D33" s="1">
        <v>1.0390380166055E-7</v>
      </c>
      <c r="E33">
        <v>-2.0693E-4</v>
      </c>
      <c r="F33" s="1">
        <v>7.6295478240849998E-7</v>
      </c>
      <c r="G33">
        <v>1591.5</v>
      </c>
      <c r="H33">
        <v>15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9DAC-51FE-4D51-ABC5-D9BED037C7ED}">
  <dimension ref="A1:P33"/>
  <sheetViews>
    <sheetView topLeftCell="A10" workbookViewId="0">
      <selection activeCell="B2" sqref="B2"/>
    </sheetView>
  </sheetViews>
  <sheetFormatPr defaultRowHeight="15" x14ac:dyDescent="0.25"/>
  <cols>
    <col min="1" max="1" width="15.28515625" customWidth="1"/>
    <col min="9" max="9" width="54.42578125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-2.4294400000526482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9">
        <v>44753.363416192129</v>
      </c>
      <c r="B3" t="s">
        <v>17</v>
      </c>
      <c r="C3" s="1">
        <v>-7.4000000000000001E-8</v>
      </c>
      <c r="D3" s="1">
        <v>6.81469001496032E-8</v>
      </c>
      <c r="E3" s="1">
        <v>2.6829999999999999E-5</v>
      </c>
      <c r="F3" s="1">
        <v>9.3706990134140899E-7</v>
      </c>
      <c r="G3">
        <v>1591.5</v>
      </c>
      <c r="H3">
        <v>15</v>
      </c>
      <c r="I3" t="s">
        <v>109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9">
        <v>44753.367378541669</v>
      </c>
      <c r="B4" t="s">
        <v>21</v>
      </c>
      <c r="C4">
        <v>9.9999755419999996</v>
      </c>
      <c r="D4" s="1">
        <v>1.0390380132888499E-7</v>
      </c>
      <c r="E4">
        <v>-1.4517999999999999E-4</v>
      </c>
      <c r="F4" s="1">
        <v>7.9221209281353601E-7</v>
      </c>
      <c r="G4">
        <v>1591.5</v>
      </c>
      <c r="H4">
        <v>15</v>
      </c>
      <c r="J4">
        <f t="shared" ref="J4:J30" si="0">C4-C$3</f>
        <v>9.9999756160000004</v>
      </c>
      <c r="K4">
        <f>E4-E$3</f>
        <v>-1.7201E-4</v>
      </c>
      <c r="L4">
        <f>K4*0.000000001/(2*PI()*J4*G4*0.000000000001)</f>
        <v>-1.720157619580748E-6</v>
      </c>
      <c r="M4">
        <v>10</v>
      </c>
      <c r="N4">
        <f>(J4/M4-1)*1000000</f>
        <v>-2.4383999999155748</v>
      </c>
      <c r="O4">
        <f>N4+P$1</f>
        <v>-4.8678399999682229</v>
      </c>
    </row>
    <row r="5" spans="1:16" x14ac:dyDescent="0.25">
      <c r="A5" s="9">
        <v>44753.36881630787</v>
      </c>
      <c r="B5" t="s">
        <v>23</v>
      </c>
      <c r="C5">
        <v>9.9999781989999992</v>
      </c>
      <c r="D5" s="1">
        <v>7.9555012347964302E-8</v>
      </c>
      <c r="E5">
        <v>-1.0813E-4</v>
      </c>
      <c r="F5" s="1">
        <v>1.22233383328778E-6</v>
      </c>
      <c r="G5">
        <v>1591.5</v>
      </c>
      <c r="H5">
        <v>15</v>
      </c>
      <c r="J5">
        <f t="shared" si="0"/>
        <v>9.999978273</v>
      </c>
      <c r="K5">
        <f t="shared" ref="K5:K30" si="1">E5-E$3</f>
        <v>-1.3496E-4</v>
      </c>
      <c r="L5">
        <f t="shared" ref="L5:L30" si="2">K5*0.000000001/(2*PI()*J5*G5*0.000000000001)</f>
        <v>-1.3496448500411131E-6</v>
      </c>
      <c r="M5">
        <v>10</v>
      </c>
      <c r="N5">
        <f t="shared" ref="N5:N30" si="3">(J5/M5-1)*1000000</f>
        <v>-2.1727000000248964</v>
      </c>
      <c r="O5">
        <f t="shared" ref="O5:O30" si="4">N5+P$1</f>
        <v>-4.6021400000775445</v>
      </c>
    </row>
    <row r="6" spans="1:16" x14ac:dyDescent="0.25">
      <c r="A6" s="9">
        <v>44753.371390277774</v>
      </c>
      <c r="B6" t="s">
        <v>24</v>
      </c>
      <c r="C6">
        <v>99.999822870000003</v>
      </c>
      <c r="D6" s="1">
        <v>7.8102497580804294E-8</v>
      </c>
      <c r="E6">
        <v>1.7477E-3</v>
      </c>
      <c r="F6" s="1">
        <v>1.55241746962597E-6</v>
      </c>
      <c r="G6">
        <v>1591.5</v>
      </c>
      <c r="H6">
        <v>15</v>
      </c>
      <c r="J6">
        <f t="shared" si="0"/>
        <v>99.999822944000002</v>
      </c>
      <c r="K6">
        <f t="shared" si="1"/>
        <v>1.72087E-3</v>
      </c>
      <c r="L6">
        <f t="shared" si="2"/>
        <v>1.720926496067707E-6</v>
      </c>
      <c r="M6">
        <v>100</v>
      </c>
      <c r="N6">
        <f t="shared" si="3"/>
        <v>-1.770559999947352</v>
      </c>
      <c r="O6">
        <f t="shared" si="4"/>
        <v>-4.2</v>
      </c>
    </row>
    <row r="7" spans="1:16" x14ac:dyDescent="0.25">
      <c r="A7" s="9">
        <v>44753.372889641207</v>
      </c>
      <c r="B7" t="s">
        <v>25</v>
      </c>
      <c r="C7">
        <v>99.999817870000001</v>
      </c>
      <c r="D7" s="1">
        <v>1.00498758728978E-7</v>
      </c>
      <c r="E7">
        <v>2.1286999999999999E-3</v>
      </c>
      <c r="F7" s="1">
        <v>8.9999999999991695E-7</v>
      </c>
      <c r="G7">
        <v>1591.5</v>
      </c>
      <c r="H7">
        <v>15</v>
      </c>
      <c r="J7">
        <f t="shared" si="0"/>
        <v>99.999817944</v>
      </c>
      <c r="K7">
        <f t="shared" si="1"/>
        <v>2.10187E-3</v>
      </c>
      <c r="L7">
        <f t="shared" si="2"/>
        <v>2.1019391093739503E-6</v>
      </c>
      <c r="M7">
        <v>100</v>
      </c>
      <c r="N7">
        <f t="shared" si="3"/>
        <v>-1.8205599999765454</v>
      </c>
      <c r="O7">
        <f t="shared" si="4"/>
        <v>-4.2500000000291935</v>
      </c>
    </row>
    <row r="8" spans="1:16" x14ac:dyDescent="0.25">
      <c r="A8" s="9">
        <v>44753.373819606481</v>
      </c>
      <c r="B8" t="s">
        <v>26</v>
      </c>
      <c r="C8">
        <v>9.9999752690000001</v>
      </c>
      <c r="D8" s="1">
        <v>7.2311824642723494E-8</v>
      </c>
      <c r="E8">
        <v>-2.4589000000000002E-4</v>
      </c>
      <c r="F8" s="1">
        <v>9.802550688468769E-7</v>
      </c>
      <c r="G8">
        <v>1591.5</v>
      </c>
      <c r="H8">
        <v>15</v>
      </c>
      <c r="I8" t="s">
        <v>110</v>
      </c>
      <c r="J8">
        <f t="shared" si="0"/>
        <v>9.9999753430000009</v>
      </c>
      <c r="K8">
        <f t="shared" si="1"/>
        <v>-2.7272E-4</v>
      </c>
      <c r="L8">
        <f t="shared" si="2"/>
        <v>-2.7272914296791288E-6</v>
      </c>
      <c r="M8">
        <v>10</v>
      </c>
      <c r="N8">
        <f t="shared" si="3"/>
        <v>-2.4656999999539408</v>
      </c>
      <c r="O8">
        <f t="shared" si="4"/>
        <v>-4.895140000006589</v>
      </c>
    </row>
    <row r="9" spans="1:16" x14ac:dyDescent="0.25">
      <c r="A9" s="9">
        <v>44753.376050752318</v>
      </c>
      <c r="B9" t="s">
        <v>28</v>
      </c>
      <c r="C9">
        <v>9.9999728070000007</v>
      </c>
      <c r="D9" s="1">
        <v>8.9336442947586798E-8</v>
      </c>
      <c r="E9">
        <v>-2.0782999999999999E-4</v>
      </c>
      <c r="F9" s="1">
        <v>1.4276203977248299E-6</v>
      </c>
      <c r="G9">
        <v>1591.5</v>
      </c>
      <c r="H9">
        <v>15</v>
      </c>
      <c r="J9">
        <f t="shared" si="0"/>
        <v>9.9999728810000015</v>
      </c>
      <c r="K9">
        <f t="shared" si="1"/>
        <v>-2.3465999999999998E-4</v>
      </c>
      <c r="L9">
        <f t="shared" si="2"/>
        <v>-2.3466792477762381E-6</v>
      </c>
      <c r="M9">
        <v>10</v>
      </c>
      <c r="N9">
        <f t="shared" si="3"/>
        <v>-2.7118999998965165</v>
      </c>
      <c r="O9">
        <f t="shared" si="4"/>
        <v>-5.1413399999491647</v>
      </c>
    </row>
    <row r="10" spans="1:16" x14ac:dyDescent="0.25">
      <c r="A10" s="9">
        <v>44753.377772824075</v>
      </c>
      <c r="B10" t="s">
        <v>29</v>
      </c>
      <c r="C10">
        <v>99.999782589999995</v>
      </c>
      <c r="D10" s="1">
        <v>9.4339811293270096E-8</v>
      </c>
      <c r="E10">
        <v>8.3710000000000002E-4</v>
      </c>
      <c r="F10" s="1">
        <v>6.9999999999998197E-7</v>
      </c>
      <c r="G10">
        <v>1591.5</v>
      </c>
      <c r="H10">
        <v>15</v>
      </c>
      <c r="J10">
        <f t="shared" si="0"/>
        <v>99.999782663999994</v>
      </c>
      <c r="K10">
        <f t="shared" si="1"/>
        <v>8.1026999999999998E-4</v>
      </c>
      <c r="L10">
        <f t="shared" si="2"/>
        <v>8.1029692750783561E-7</v>
      </c>
      <c r="M10">
        <v>100</v>
      </c>
      <c r="N10">
        <f t="shared" si="3"/>
        <v>-2.173360000079505</v>
      </c>
      <c r="O10">
        <f t="shared" si="4"/>
        <v>-4.6028000001321532</v>
      </c>
    </row>
    <row r="11" spans="1:16" x14ac:dyDescent="0.25">
      <c r="A11" s="9">
        <v>44753.379078275466</v>
      </c>
      <c r="B11" t="s">
        <v>30</v>
      </c>
      <c r="C11">
        <v>99.999858359999905</v>
      </c>
      <c r="D11" s="1">
        <v>1.01980387561839E-7</v>
      </c>
      <c r="E11">
        <v>9.2359999999999903E-4</v>
      </c>
      <c r="F11" s="1">
        <v>1.1135528725660299E-6</v>
      </c>
      <c r="G11">
        <v>1591.5</v>
      </c>
      <c r="H11">
        <v>15</v>
      </c>
      <c r="J11">
        <f t="shared" si="0"/>
        <v>99.999858433999904</v>
      </c>
      <c r="K11">
        <f t="shared" si="1"/>
        <v>8.9676999999999899E-4</v>
      </c>
      <c r="L11">
        <f t="shared" si="2"/>
        <v>8.9679912263533805E-7</v>
      </c>
      <c r="M11">
        <v>100</v>
      </c>
      <c r="N11">
        <f t="shared" si="3"/>
        <v>-1.4156600010029052</v>
      </c>
      <c r="O11">
        <f t="shared" si="4"/>
        <v>-3.8451000010555534</v>
      </c>
    </row>
    <row r="12" spans="1:16" x14ac:dyDescent="0.25">
      <c r="A12" s="9">
        <v>44753.380462511574</v>
      </c>
      <c r="B12" t="s">
        <v>31</v>
      </c>
      <c r="C12">
        <v>10.00020308</v>
      </c>
      <c r="D12" s="1">
        <v>9.7979589442196501E-8</v>
      </c>
      <c r="E12">
        <v>9.5517999999999905E-4</v>
      </c>
      <c r="F12" s="1">
        <v>1.0027960909377201E-6</v>
      </c>
      <c r="G12">
        <v>1591.5</v>
      </c>
      <c r="H12">
        <v>15</v>
      </c>
      <c r="J12">
        <f t="shared" si="0"/>
        <v>10.000203154000001</v>
      </c>
      <c r="K12">
        <f t="shared" si="1"/>
        <v>9.2834999999999901E-4</v>
      </c>
      <c r="L12">
        <f t="shared" si="2"/>
        <v>9.283599739220245E-6</v>
      </c>
      <c r="M12">
        <v>10</v>
      </c>
      <c r="N12">
        <f t="shared" si="3"/>
        <v>20.315400000026074</v>
      </c>
      <c r="O12">
        <f t="shared" si="4"/>
        <v>17.885959999973426</v>
      </c>
    </row>
    <row r="13" spans="1:16" x14ac:dyDescent="0.25">
      <c r="A13" s="9">
        <v>44753.382193472222</v>
      </c>
      <c r="B13" t="s">
        <v>33</v>
      </c>
      <c r="C13">
        <v>100.0041011</v>
      </c>
      <c r="D13" s="1">
        <v>2.9999999924257201E-7</v>
      </c>
      <c r="E13">
        <v>8.8645000000000009E-3</v>
      </c>
      <c r="F13" s="1">
        <v>4.7169905660286202E-6</v>
      </c>
      <c r="G13">
        <v>1591.5</v>
      </c>
      <c r="H13">
        <v>15</v>
      </c>
      <c r="J13">
        <f t="shared" si="0"/>
        <v>100.004101174</v>
      </c>
      <c r="K13">
        <f t="shared" si="1"/>
        <v>8.8376700000000006E-3</v>
      </c>
      <c r="L13">
        <f t="shared" si="2"/>
        <v>8.8375820474654739E-6</v>
      </c>
      <c r="M13">
        <v>100</v>
      </c>
      <c r="N13">
        <f t="shared" si="3"/>
        <v>41.01174000004093</v>
      </c>
      <c r="O13">
        <f t="shared" si="4"/>
        <v>38.58229999998828</v>
      </c>
    </row>
    <row r="14" spans="1:16" x14ac:dyDescent="0.25">
      <c r="A14" s="9">
        <v>44753.386013391202</v>
      </c>
      <c r="B14" t="s">
        <v>34</v>
      </c>
      <c r="C14">
        <v>1000.032884</v>
      </c>
      <c r="D14" s="1">
        <v>4.89897947319762E-6</v>
      </c>
      <c r="E14">
        <v>0.20086799999999999</v>
      </c>
      <c r="F14" s="1">
        <v>2.7495454169735E-5</v>
      </c>
      <c r="G14">
        <v>1591.5</v>
      </c>
      <c r="H14">
        <v>1.5</v>
      </c>
      <c r="J14">
        <f t="shared" si="0"/>
        <v>1000.032884074</v>
      </c>
      <c r="K14">
        <f t="shared" si="1"/>
        <v>0.20084116999999999</v>
      </c>
      <c r="L14">
        <f t="shared" si="2"/>
        <v>2.008408035277328E-5</v>
      </c>
      <c r="M14">
        <v>1000</v>
      </c>
      <c r="N14">
        <f t="shared" si="3"/>
        <v>32.884074000039121</v>
      </c>
      <c r="O14">
        <f t="shared" si="4"/>
        <v>30.454633999986473</v>
      </c>
    </row>
    <row r="15" spans="1:16" x14ac:dyDescent="0.25">
      <c r="A15" s="9">
        <v>44753.387458252313</v>
      </c>
      <c r="B15" t="s">
        <v>35</v>
      </c>
      <c r="C15">
        <v>1000.01664099999</v>
      </c>
      <c r="D15" s="1">
        <v>2.9999999924257298E-6</v>
      </c>
      <c r="E15">
        <v>0.20619899999999999</v>
      </c>
      <c r="F15" s="1">
        <v>3.70000000000034E-5</v>
      </c>
      <c r="G15">
        <v>1591.5</v>
      </c>
      <c r="H15">
        <v>1.5</v>
      </c>
      <c r="J15">
        <f t="shared" si="0"/>
        <v>1000.0166410739901</v>
      </c>
      <c r="K15">
        <f t="shared" si="1"/>
        <v>0.20617216999999999</v>
      </c>
      <c r="L15">
        <f t="shared" si="2"/>
        <v>2.061751425930478E-5</v>
      </c>
      <c r="M15">
        <v>1000</v>
      </c>
      <c r="N15">
        <f t="shared" si="3"/>
        <v>16.641073990131261</v>
      </c>
      <c r="O15">
        <f t="shared" si="4"/>
        <v>14.211633990078614</v>
      </c>
    </row>
    <row r="16" spans="1:16" x14ac:dyDescent="0.25">
      <c r="A16" s="9">
        <v>44753.389032453706</v>
      </c>
      <c r="B16" t="s">
        <v>36</v>
      </c>
      <c r="C16">
        <v>4.9999542439999898</v>
      </c>
      <c r="D16" s="1">
        <v>7.7485482631791999E-8</v>
      </c>
      <c r="E16">
        <v>2.6105999999999899E-4</v>
      </c>
      <c r="F16" s="1">
        <v>7.7485482511242903E-7</v>
      </c>
      <c r="G16">
        <v>1591.5</v>
      </c>
      <c r="H16">
        <v>15</v>
      </c>
      <c r="J16">
        <f t="shared" si="0"/>
        <v>4.9999543179999897</v>
      </c>
      <c r="K16">
        <f t="shared" si="1"/>
        <v>2.3422999999999901E-4</v>
      </c>
      <c r="L16">
        <f t="shared" si="2"/>
        <v>4.6847883026232E-6</v>
      </c>
      <c r="M16">
        <v>5</v>
      </c>
      <c r="N16">
        <f t="shared" si="3"/>
        <v>-9.1364000021076919</v>
      </c>
      <c r="O16">
        <f t="shared" si="4"/>
        <v>-11.565840002160339</v>
      </c>
    </row>
    <row r="17" spans="1:15" x14ac:dyDescent="0.25">
      <c r="A17" s="9">
        <v>44753.39719959491</v>
      </c>
      <c r="B17" t="s">
        <v>38</v>
      </c>
      <c r="C17">
        <v>5.0001022470000001</v>
      </c>
      <c r="D17" s="1">
        <v>1.3820636746479601E-7</v>
      </c>
      <c r="E17">
        <v>-1.539E-4</v>
      </c>
      <c r="F17" s="1">
        <v>1.39499103939774E-6</v>
      </c>
      <c r="G17">
        <v>1591.5</v>
      </c>
      <c r="H17">
        <v>15</v>
      </c>
      <c r="I17" t="s">
        <v>111</v>
      </c>
      <c r="J17">
        <f t="shared" si="0"/>
        <v>5.000102321</v>
      </c>
      <c r="K17">
        <f t="shared" si="1"/>
        <v>-1.8072999999999999E-4</v>
      </c>
      <c r="L17">
        <f t="shared" si="2"/>
        <v>-3.6146382963624243E-6</v>
      </c>
      <c r="M17">
        <v>5</v>
      </c>
      <c r="N17">
        <f t="shared" si="3"/>
        <v>20.464199999903343</v>
      </c>
      <c r="O17">
        <f t="shared" si="4"/>
        <v>18.034759999850696</v>
      </c>
    </row>
    <row r="18" spans="1:15" x14ac:dyDescent="0.25">
      <c r="A18" s="9">
        <v>44753.400437916665</v>
      </c>
      <c r="B18" t="s">
        <v>40</v>
      </c>
      <c r="C18">
        <v>0.50005119099999995</v>
      </c>
      <c r="D18" s="1">
        <v>8.0802227693843797E-8</v>
      </c>
      <c r="E18" s="1">
        <v>7.5140000000000002E-5</v>
      </c>
      <c r="F18" s="1">
        <v>1.0622617379911501E-6</v>
      </c>
      <c r="G18">
        <v>1591.5</v>
      </c>
      <c r="H18">
        <v>15</v>
      </c>
      <c r="I18" t="s">
        <v>112</v>
      </c>
      <c r="J18">
        <f t="shared" si="0"/>
        <v>0.50005126499999997</v>
      </c>
      <c r="K18">
        <f t="shared" si="1"/>
        <v>4.8310000000000003E-5</v>
      </c>
      <c r="L18">
        <f t="shared" si="2"/>
        <v>9.6613095211524721E-6</v>
      </c>
      <c r="M18">
        <v>0.5</v>
      </c>
      <c r="N18">
        <f t="shared" si="3"/>
        <v>102.52999999993406</v>
      </c>
      <c r="O18">
        <f t="shared" si="4"/>
        <v>100.10055999988141</v>
      </c>
    </row>
    <row r="19" spans="1:15" x14ac:dyDescent="0.25">
      <c r="A19" s="9">
        <v>44753.402597256943</v>
      </c>
      <c r="B19" t="s">
        <v>42</v>
      </c>
      <c r="C19">
        <v>1000.157679</v>
      </c>
      <c r="D19" s="1">
        <v>2.9999999924257298E-6</v>
      </c>
      <c r="E19">
        <v>0.13754</v>
      </c>
      <c r="F19" s="1">
        <v>3.28633534503115E-5</v>
      </c>
      <c r="G19">
        <v>1591.5</v>
      </c>
      <c r="H19">
        <v>1.5</v>
      </c>
      <c r="J19">
        <f t="shared" si="0"/>
        <v>1000.157679074</v>
      </c>
      <c r="K19">
        <f t="shared" si="1"/>
        <v>0.13751316999999999</v>
      </c>
      <c r="L19">
        <f t="shared" si="2"/>
        <v>1.3749576086226499E-5</v>
      </c>
      <c r="M19">
        <v>1000</v>
      </c>
      <c r="N19">
        <f t="shared" si="3"/>
        <v>157.67907400010552</v>
      </c>
      <c r="O19">
        <f t="shared" si="4"/>
        <v>155.24963400005288</v>
      </c>
    </row>
    <row r="20" spans="1:15" x14ac:dyDescent="0.25">
      <c r="A20" s="9">
        <v>44753.404147685185</v>
      </c>
      <c r="B20" t="s">
        <v>44</v>
      </c>
      <c r="C20">
        <v>10.00036412</v>
      </c>
      <c r="D20" s="1">
        <v>8.7177978830020795E-8</v>
      </c>
      <c r="E20">
        <v>4.819E-4</v>
      </c>
      <c r="F20" s="1">
        <v>1.27436258576592E-6</v>
      </c>
      <c r="G20">
        <v>1591.5</v>
      </c>
      <c r="H20">
        <v>15</v>
      </c>
      <c r="I20" t="s">
        <v>113</v>
      </c>
      <c r="J20">
        <f t="shared" si="0"/>
        <v>10.000364194000001</v>
      </c>
      <c r="K20">
        <f t="shared" si="1"/>
        <v>4.5507000000000002E-4</v>
      </c>
      <c r="L20">
        <f t="shared" si="2"/>
        <v>4.5506756088042052E-6</v>
      </c>
      <c r="M20">
        <v>10</v>
      </c>
      <c r="N20">
        <f t="shared" si="3"/>
        <v>36.419400000209379</v>
      </c>
      <c r="O20">
        <f t="shared" si="4"/>
        <v>33.989960000156728</v>
      </c>
    </row>
    <row r="21" spans="1:15" x14ac:dyDescent="0.25">
      <c r="A21" s="9">
        <v>44753.405964861115</v>
      </c>
      <c r="B21" t="s">
        <v>46</v>
      </c>
      <c r="C21">
        <v>10.000106199999999</v>
      </c>
      <c r="D21" s="1">
        <v>1.4832396955905E-7</v>
      </c>
      <c r="E21">
        <v>4.8298999999999998E-4</v>
      </c>
      <c r="F21" s="1">
        <v>1.2817566071606599E-6</v>
      </c>
      <c r="G21">
        <v>1591.5</v>
      </c>
      <c r="H21">
        <v>15</v>
      </c>
      <c r="J21">
        <f t="shared" si="0"/>
        <v>10.000106274</v>
      </c>
      <c r="K21">
        <f t="shared" si="1"/>
        <v>4.5616E-4</v>
      </c>
      <c r="L21">
        <f t="shared" si="2"/>
        <v>4.5616932012878109E-6</v>
      </c>
      <c r="M21">
        <v>10</v>
      </c>
      <c r="N21">
        <f t="shared" si="3"/>
        <v>10.627400000018383</v>
      </c>
      <c r="O21">
        <f t="shared" si="4"/>
        <v>8.197959999965736</v>
      </c>
    </row>
    <row r="22" spans="1:15" x14ac:dyDescent="0.25">
      <c r="A22" s="9">
        <v>44753.406753946758</v>
      </c>
      <c r="B22" t="s">
        <v>47</v>
      </c>
      <c r="C22">
        <v>10.00008405</v>
      </c>
      <c r="D22" s="1">
        <v>1.11803398989918E-7</v>
      </c>
      <c r="E22">
        <v>4.7270999999999999E-4</v>
      </c>
      <c r="F22" s="1">
        <v>9.8127468121825602E-7</v>
      </c>
      <c r="G22">
        <v>1591.5</v>
      </c>
      <c r="H22">
        <v>15</v>
      </c>
      <c r="J22">
        <f t="shared" si="0"/>
        <v>10.000084124000001</v>
      </c>
      <c r="K22">
        <f t="shared" si="1"/>
        <v>4.4588000000000001E-4</v>
      </c>
      <c r="L22">
        <f t="shared" si="2"/>
        <v>4.4589009772687384E-6</v>
      </c>
      <c r="M22">
        <v>10</v>
      </c>
      <c r="N22">
        <f t="shared" si="3"/>
        <v>8.4124000001573052</v>
      </c>
      <c r="O22">
        <f t="shared" si="4"/>
        <v>5.982960000104657</v>
      </c>
    </row>
    <row r="23" spans="1:15" x14ac:dyDescent="0.25">
      <c r="A23" s="9">
        <v>44753.407903495368</v>
      </c>
      <c r="B23" t="s">
        <v>48</v>
      </c>
      <c r="C23">
        <v>10.000179889999901</v>
      </c>
      <c r="D23" s="1">
        <v>9.4339811349757598E-8</v>
      </c>
      <c r="E23">
        <v>5.0544999999999995E-4</v>
      </c>
      <c r="F23" s="1">
        <v>1.5141003929726699E-6</v>
      </c>
      <c r="G23">
        <v>1591.5</v>
      </c>
      <c r="H23">
        <v>15</v>
      </c>
      <c r="J23">
        <f t="shared" si="0"/>
        <v>10.000179963999901</v>
      </c>
      <c r="K23">
        <f t="shared" si="1"/>
        <v>4.7861999999999997E-4</v>
      </c>
      <c r="L23">
        <f t="shared" si="2"/>
        <v>4.7862625206562072E-6</v>
      </c>
      <c r="M23">
        <v>10</v>
      </c>
      <c r="N23">
        <f t="shared" si="3"/>
        <v>17.996399990227729</v>
      </c>
      <c r="O23">
        <f t="shared" si="4"/>
        <v>15.566959990175082</v>
      </c>
    </row>
    <row r="24" spans="1:15" x14ac:dyDescent="0.25">
      <c r="A24" s="9">
        <v>44753.409458333335</v>
      </c>
      <c r="B24" t="s">
        <v>49</v>
      </c>
      <c r="C24">
        <v>9.9999673910000002</v>
      </c>
      <c r="D24" s="1">
        <v>1.6664033118171501E-7</v>
      </c>
      <c r="E24">
        <v>4.7476000000000001E-4</v>
      </c>
      <c r="F24" s="1">
        <v>1.5806327846783299E-6</v>
      </c>
      <c r="G24">
        <v>1591.5</v>
      </c>
      <c r="H24">
        <v>15</v>
      </c>
      <c r="J24">
        <f t="shared" si="0"/>
        <v>9.999967465000001</v>
      </c>
      <c r="K24">
        <f t="shared" si="1"/>
        <v>4.4793000000000003E-4</v>
      </c>
      <c r="L24">
        <f t="shared" si="2"/>
        <v>4.47945369794613E-6</v>
      </c>
      <c r="M24">
        <v>10</v>
      </c>
      <c r="N24">
        <f t="shared" si="3"/>
        <v>-3.2534999998556913</v>
      </c>
      <c r="O24">
        <f t="shared" si="4"/>
        <v>-5.6829399999083394</v>
      </c>
    </row>
    <row r="25" spans="1:15" x14ac:dyDescent="0.25">
      <c r="A25" s="9">
        <v>44753.41045693287</v>
      </c>
      <c r="B25" t="s">
        <v>50</v>
      </c>
      <c r="C25">
        <v>10.000186960000001</v>
      </c>
      <c r="D25" s="1">
        <v>1.7435595743590301E-7</v>
      </c>
      <c r="E25">
        <v>5.0620999999999999E-4</v>
      </c>
      <c r="F25" s="1">
        <v>1.3330041260251E-6</v>
      </c>
      <c r="G25">
        <v>1591.5</v>
      </c>
      <c r="H25">
        <v>15</v>
      </c>
      <c r="J25">
        <f t="shared" si="0"/>
        <v>10.000187034000001</v>
      </c>
      <c r="K25">
        <f t="shared" si="1"/>
        <v>4.7938000000000001E-4</v>
      </c>
      <c r="L25">
        <f t="shared" si="2"/>
        <v>4.7938592307351353E-6</v>
      </c>
      <c r="M25">
        <v>10</v>
      </c>
      <c r="N25">
        <f t="shared" si="3"/>
        <v>18.703400000097403</v>
      </c>
      <c r="O25">
        <f t="shared" si="4"/>
        <v>16.273960000044756</v>
      </c>
    </row>
    <row r="26" spans="1:15" x14ac:dyDescent="0.25">
      <c r="A26" s="9">
        <v>44753.411264722221</v>
      </c>
      <c r="B26" t="s">
        <v>51</v>
      </c>
      <c r="C26">
        <v>10.00030565</v>
      </c>
      <c r="D26" s="1">
        <v>1.3601470537083201E-7</v>
      </c>
      <c r="E26">
        <v>4.9521999999999999E-4</v>
      </c>
      <c r="F26" s="1">
        <v>7.9974996092530103E-7</v>
      </c>
      <c r="G26">
        <v>1591.5</v>
      </c>
      <c r="H26">
        <v>15</v>
      </c>
      <c r="J26">
        <f t="shared" si="0"/>
        <v>10.000305724</v>
      </c>
      <c r="K26">
        <f t="shared" si="1"/>
        <v>4.6839000000000001E-4</v>
      </c>
      <c r="L26">
        <f t="shared" si="2"/>
        <v>4.6839022806477464E-6</v>
      </c>
      <c r="M26">
        <v>10</v>
      </c>
      <c r="N26">
        <f t="shared" si="3"/>
        <v>30.572400000039579</v>
      </c>
      <c r="O26">
        <f t="shared" si="4"/>
        <v>28.142959999986932</v>
      </c>
    </row>
    <row r="27" spans="1:15" x14ac:dyDescent="0.25">
      <c r="A27" s="9">
        <v>44753.412259930556</v>
      </c>
      <c r="B27" t="s">
        <v>53</v>
      </c>
      <c r="C27">
        <v>10.000218129999899</v>
      </c>
      <c r="D27" s="1">
        <v>1.6763054587600901E-7</v>
      </c>
      <c r="E27">
        <v>4.9503999999999998E-4</v>
      </c>
      <c r="F27" s="1">
        <v>1.36396480893018E-6</v>
      </c>
      <c r="G27">
        <v>1591.5</v>
      </c>
      <c r="H27">
        <v>15</v>
      </c>
      <c r="J27">
        <f t="shared" si="0"/>
        <v>10.0002182039999</v>
      </c>
      <c r="K27">
        <f t="shared" si="1"/>
        <v>4.6820999999999999E-4</v>
      </c>
      <c r="L27">
        <f t="shared" si="2"/>
        <v>4.682143256636374E-6</v>
      </c>
      <c r="M27">
        <v>10</v>
      </c>
      <c r="N27">
        <f t="shared" si="3"/>
        <v>21.820399989991301</v>
      </c>
      <c r="O27">
        <f t="shared" si="4"/>
        <v>19.390959989938654</v>
      </c>
    </row>
    <row r="28" spans="1:15" x14ac:dyDescent="0.25">
      <c r="A28" s="9">
        <v>44753.413346712965</v>
      </c>
      <c r="B28" t="s">
        <v>54</v>
      </c>
      <c r="C28">
        <v>10.000341559999899</v>
      </c>
      <c r="D28" s="1">
        <v>1.01980390348817E-7</v>
      </c>
      <c r="E28">
        <v>4.9655999999999995E-4</v>
      </c>
      <c r="F28" s="1">
        <v>1.3668942899873401E-6</v>
      </c>
      <c r="G28">
        <v>1591.5</v>
      </c>
      <c r="H28">
        <v>15</v>
      </c>
      <c r="J28">
        <f t="shared" si="0"/>
        <v>10.0003416339999</v>
      </c>
      <c r="K28">
        <f t="shared" si="1"/>
        <v>4.6972999999999996E-4</v>
      </c>
      <c r="L28">
        <f t="shared" si="2"/>
        <v>4.6972854197361517E-6</v>
      </c>
      <c r="M28">
        <v>10</v>
      </c>
      <c r="N28">
        <f t="shared" si="3"/>
        <v>34.163399990072563</v>
      </c>
      <c r="O28">
        <f t="shared" si="4"/>
        <v>31.733959990019915</v>
      </c>
    </row>
    <row r="29" spans="1:15" x14ac:dyDescent="0.25">
      <c r="A29" s="9">
        <v>44753.414434236111</v>
      </c>
      <c r="B29" t="s">
        <v>55</v>
      </c>
      <c r="C29">
        <v>10.000400429999999</v>
      </c>
      <c r="D29" s="1">
        <v>1.48660687370291E-7</v>
      </c>
      <c r="E29">
        <v>4.8855000000000003E-4</v>
      </c>
      <c r="F29" s="1">
        <v>1.1137773565663699E-6</v>
      </c>
      <c r="G29">
        <v>1591.5</v>
      </c>
      <c r="H29">
        <v>15</v>
      </c>
      <c r="J29">
        <f t="shared" si="0"/>
        <v>10.000400504</v>
      </c>
      <c r="K29">
        <f t="shared" si="1"/>
        <v>4.6172000000000004E-4</v>
      </c>
      <c r="L29">
        <f t="shared" si="2"/>
        <v>4.6171584880804095E-6</v>
      </c>
      <c r="M29">
        <v>10</v>
      </c>
      <c r="N29">
        <f t="shared" si="3"/>
        <v>40.050399999991271</v>
      </c>
      <c r="O29">
        <f t="shared" si="4"/>
        <v>37.62095999993862</v>
      </c>
    </row>
    <row r="30" spans="1:15" x14ac:dyDescent="0.25">
      <c r="A30" s="9">
        <v>44753.415213043983</v>
      </c>
      <c r="B30" t="s">
        <v>56</v>
      </c>
      <c r="C30">
        <v>10.000210770000001</v>
      </c>
      <c r="D30" s="1">
        <v>9.0000000222782197E-8</v>
      </c>
      <c r="E30">
        <v>4.8511000000000002E-4</v>
      </c>
      <c r="F30" s="1">
        <v>1.4713599151805101E-6</v>
      </c>
      <c r="G30">
        <v>1591.5</v>
      </c>
      <c r="H30">
        <v>15</v>
      </c>
      <c r="I30" t="s">
        <v>114</v>
      </c>
      <c r="J30">
        <f t="shared" si="0"/>
        <v>10.000210844000001</v>
      </c>
      <c r="K30">
        <f t="shared" si="1"/>
        <v>4.5828000000000004E-4</v>
      </c>
      <c r="L30">
        <f t="shared" si="2"/>
        <v>4.5828457121317367E-6</v>
      </c>
      <c r="M30">
        <v>10</v>
      </c>
      <c r="N30">
        <f t="shared" si="3"/>
        <v>21.084400000148662</v>
      </c>
      <c r="O30">
        <f t="shared" si="4"/>
        <v>18.654960000096015</v>
      </c>
    </row>
    <row r="33" spans="3:8" x14ac:dyDescent="0.25">
      <c r="C33">
        <v>9.9999731220000001</v>
      </c>
      <c r="D33" s="1">
        <v>1.0390380166055E-7</v>
      </c>
      <c r="E33">
        <v>-2.0693E-4</v>
      </c>
      <c r="F33" s="1">
        <v>7.6295478240849998E-7</v>
      </c>
      <c r="G33">
        <v>1591.5</v>
      </c>
      <c r="H33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8038-C81E-465F-8377-586D4CEFFA05}">
  <dimension ref="A1:P33"/>
  <sheetViews>
    <sheetView topLeftCell="A7" workbookViewId="0">
      <selection activeCell="A7" sqref="A7"/>
    </sheetView>
  </sheetViews>
  <sheetFormatPr defaultRowHeight="15" x14ac:dyDescent="0.25"/>
  <cols>
    <col min="1" max="1" width="15.28515625" customWidth="1"/>
    <col min="9" max="9" width="5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-2.4267099990496108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9">
        <v>44767.405945949075</v>
      </c>
      <c r="B3" t="s">
        <v>17</v>
      </c>
      <c r="C3" s="1">
        <v>-1.0000000000000001E-9</v>
      </c>
      <c r="D3" s="1">
        <v>8.37197706638043E-8</v>
      </c>
      <c r="E3" s="1">
        <v>2.7250000000000002E-5</v>
      </c>
      <c r="F3" s="1">
        <v>5.8694122363316695E-7</v>
      </c>
      <c r="G3">
        <v>1591.5</v>
      </c>
      <c r="H3">
        <v>15</v>
      </c>
      <c r="I3" t="s">
        <v>115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9">
        <v>44767.409257777777</v>
      </c>
      <c r="B4" t="s">
        <v>21</v>
      </c>
      <c r="C4">
        <v>9.9999756279999996</v>
      </c>
      <c r="D4" s="1">
        <v>1.04766406864389E-7</v>
      </c>
      <c r="E4">
        <v>-1.6343999999999999E-4</v>
      </c>
      <c r="F4" s="1">
        <v>1.10471715837131E-6</v>
      </c>
      <c r="G4">
        <v>1591.5</v>
      </c>
      <c r="H4">
        <v>15</v>
      </c>
      <c r="J4">
        <f t="shared" ref="J4:J30" si="0">C4-C$3</f>
        <v>9.9999756289999997</v>
      </c>
      <c r="K4">
        <f>E4-E$3</f>
        <v>-1.9069000000000001E-4</v>
      </c>
      <c r="L4">
        <f>K4*0.000000001/(2*PI()*J4*G4*0.000000000001)</f>
        <v>-1.9069638744923546E-6</v>
      </c>
      <c r="M4">
        <v>10</v>
      </c>
      <c r="N4">
        <f>(J4/M4-1)*1000000</f>
        <v>-2.4371000000300569</v>
      </c>
      <c r="O4">
        <f>N4+P$1</f>
        <v>-4.8638099990796677</v>
      </c>
    </row>
    <row r="5" spans="1:16" x14ac:dyDescent="0.25">
      <c r="A5" s="9">
        <v>44767.412670196762</v>
      </c>
      <c r="B5" t="s">
        <v>23</v>
      </c>
      <c r="C5">
        <v>9.9999782459999995</v>
      </c>
      <c r="D5" s="1">
        <v>8.7658427814999899E-8</v>
      </c>
      <c r="E5">
        <v>-1.2323E-4</v>
      </c>
      <c r="F5" s="1">
        <v>9.0669730340394895E-7</v>
      </c>
      <c r="G5">
        <v>1591.5</v>
      </c>
      <c r="H5">
        <v>15</v>
      </c>
      <c r="J5">
        <f t="shared" si="0"/>
        <v>9.9999782469999996</v>
      </c>
      <c r="K5">
        <f t="shared" ref="K5:K30" si="1">E5-E$3</f>
        <v>-1.5048000000000001E-4</v>
      </c>
      <c r="L5">
        <f t="shared" ref="L5:L30" si="2">K5*0.000000001/(2*PI()*J5*G5*0.000000000001)</f>
        <v>-1.5048500115755314E-6</v>
      </c>
      <c r="M5">
        <v>10</v>
      </c>
      <c r="N5">
        <f t="shared" ref="N5:N30" si="3">(J5/M5-1)*1000000</f>
        <v>-2.1753000000179767</v>
      </c>
      <c r="O5">
        <f t="shared" ref="O5:O30" si="4">N5+P$1</f>
        <v>-4.6020099990675876</v>
      </c>
    </row>
    <row r="6" spans="1:16" x14ac:dyDescent="0.25">
      <c r="A6" s="9">
        <v>44767.41488556713</v>
      </c>
      <c r="B6" t="s">
        <v>24</v>
      </c>
      <c r="C6">
        <v>99.999822669999901</v>
      </c>
      <c r="D6" s="1">
        <v>1.26885774927344E-7</v>
      </c>
      <c r="E6">
        <v>1.73649999999999E-3</v>
      </c>
      <c r="F6" s="1">
        <v>1.20415945787922E-6</v>
      </c>
      <c r="G6">
        <v>1591.5</v>
      </c>
      <c r="H6">
        <v>15</v>
      </c>
      <c r="J6">
        <f t="shared" si="0"/>
        <v>99.999822670999905</v>
      </c>
      <c r="K6">
        <f t="shared" si="1"/>
        <v>1.7092499999999901E-3</v>
      </c>
      <c r="L6">
        <f t="shared" si="2"/>
        <v>1.7093061192501502E-6</v>
      </c>
      <c r="M6">
        <v>100</v>
      </c>
      <c r="N6">
        <f t="shared" si="3"/>
        <v>-1.7732900009503894</v>
      </c>
      <c r="O6">
        <f t="shared" si="4"/>
        <v>-4.2</v>
      </c>
    </row>
    <row r="7" spans="1:16" x14ac:dyDescent="0.25">
      <c r="A7" s="9">
        <v>44767.425189803238</v>
      </c>
      <c r="B7" t="s">
        <v>25</v>
      </c>
      <c r="C7">
        <v>99.999817059999899</v>
      </c>
      <c r="D7" s="1">
        <v>1.19999999507551E-7</v>
      </c>
      <c r="E7">
        <v>2.1123000000000001E-3</v>
      </c>
      <c r="F7" s="1">
        <v>1.26885775404492E-6</v>
      </c>
      <c r="G7">
        <v>1591.5</v>
      </c>
      <c r="H7">
        <v>15</v>
      </c>
      <c r="J7">
        <f t="shared" si="0"/>
        <v>99.999817060999902</v>
      </c>
      <c r="K7">
        <f t="shared" si="1"/>
        <v>2.0850500000000002E-3</v>
      </c>
      <c r="L7">
        <f t="shared" si="2"/>
        <v>2.0851185747448761E-6</v>
      </c>
      <c r="M7">
        <v>100</v>
      </c>
      <c r="N7">
        <f t="shared" si="3"/>
        <v>-1.8293900009291875</v>
      </c>
      <c r="O7">
        <f t="shared" si="4"/>
        <v>-4.2560999999787983</v>
      </c>
    </row>
    <row r="8" spans="1:16" x14ac:dyDescent="0.25">
      <c r="A8" s="9">
        <v>44767.426420671298</v>
      </c>
      <c r="B8" t="s">
        <v>26</v>
      </c>
      <c r="C8">
        <v>9.9999752490000002</v>
      </c>
      <c r="D8" s="1">
        <v>1.5254179759192099E-7</v>
      </c>
      <c r="E8">
        <v>-2.6741999999999998E-4</v>
      </c>
      <c r="F8" s="1">
        <v>6.0959002616512704E-7</v>
      </c>
      <c r="G8">
        <v>1591.5</v>
      </c>
      <c r="H8">
        <v>15</v>
      </c>
      <c r="I8" t="s">
        <v>116</v>
      </c>
      <c r="J8">
        <f t="shared" si="0"/>
        <v>9.9999752500000003</v>
      </c>
      <c r="K8">
        <f t="shared" si="1"/>
        <v>-2.9466999999999997E-4</v>
      </c>
      <c r="L8">
        <f t="shared" si="2"/>
        <v>-2.9467988158460012E-6</v>
      </c>
      <c r="M8">
        <v>10</v>
      </c>
      <c r="N8">
        <f t="shared" si="3"/>
        <v>-2.4749999999462702</v>
      </c>
      <c r="O8">
        <f t="shared" si="4"/>
        <v>-4.901709998995881</v>
      </c>
    </row>
    <row r="9" spans="1:16" x14ac:dyDescent="0.25">
      <c r="A9" s="9">
        <v>44767.429771134259</v>
      </c>
      <c r="B9" t="s">
        <v>28</v>
      </c>
      <c r="C9">
        <v>9.9999729980000005</v>
      </c>
      <c r="D9" s="1">
        <v>9.6622978612465798E-8</v>
      </c>
      <c r="E9">
        <v>-2.2808E-4</v>
      </c>
      <c r="F9" s="1">
        <v>8.1461647417665501E-7</v>
      </c>
      <c r="G9">
        <v>1591.5</v>
      </c>
      <c r="H9">
        <v>15</v>
      </c>
      <c r="J9">
        <f t="shared" si="0"/>
        <v>9.9999729990000006</v>
      </c>
      <c r="K9">
        <f t="shared" si="1"/>
        <v>-2.5533000000000001E-4</v>
      </c>
      <c r="L9">
        <f t="shared" si="2"/>
        <v>-2.5533861981777559E-6</v>
      </c>
      <c r="M9">
        <v>10</v>
      </c>
      <c r="N9">
        <f t="shared" si="3"/>
        <v>-2.7000999999193809</v>
      </c>
      <c r="O9">
        <f t="shared" si="4"/>
        <v>-5.1268099989689917</v>
      </c>
    </row>
    <row r="10" spans="1:16" x14ac:dyDescent="0.25">
      <c r="A10" s="9">
        <v>44767.431008101848</v>
      </c>
      <c r="B10" t="s">
        <v>29</v>
      </c>
      <c r="C10">
        <v>99.999782199999999</v>
      </c>
      <c r="D10" s="1">
        <v>1.1832159704471E-7</v>
      </c>
      <c r="E10">
        <v>8.1280000000000002E-4</v>
      </c>
      <c r="F10" s="1">
        <v>1.3999999999999999E-6</v>
      </c>
      <c r="G10">
        <v>1591.5</v>
      </c>
      <c r="H10">
        <v>15</v>
      </c>
      <c r="J10">
        <f t="shared" si="0"/>
        <v>99.999782201000002</v>
      </c>
      <c r="K10">
        <f t="shared" si="1"/>
        <v>7.8554999999999999E-4</v>
      </c>
      <c r="L10">
        <f t="shared" si="2"/>
        <v>7.8557610963125214E-7</v>
      </c>
      <c r="M10">
        <v>100</v>
      </c>
      <c r="N10">
        <f t="shared" si="3"/>
        <v>-2.1779900000185037</v>
      </c>
      <c r="O10">
        <f t="shared" si="4"/>
        <v>-4.6046999990681146</v>
      </c>
    </row>
    <row r="11" spans="1:16" x14ac:dyDescent="0.25">
      <c r="A11" s="9">
        <v>44767.432499421295</v>
      </c>
      <c r="B11" t="s">
        <v>30</v>
      </c>
      <c r="C11">
        <v>99.999857379999995</v>
      </c>
      <c r="D11" s="1">
        <v>9.7979592596793299E-8</v>
      </c>
      <c r="E11">
        <v>8.966E-4</v>
      </c>
      <c r="F11" s="1">
        <v>1.1999999999999999E-6</v>
      </c>
      <c r="G11">
        <v>1591.5</v>
      </c>
      <c r="H11">
        <v>15</v>
      </c>
      <c r="J11">
        <f t="shared" si="0"/>
        <v>99.999857380999998</v>
      </c>
      <c r="K11">
        <f t="shared" si="1"/>
        <v>8.6934999999999996E-4</v>
      </c>
      <c r="L11">
        <f t="shared" si="2"/>
        <v>8.6937824132449953E-7</v>
      </c>
      <c r="M11">
        <v>100</v>
      </c>
      <c r="N11">
        <f t="shared" si="3"/>
        <v>-1.4261899999867822</v>
      </c>
      <c r="O11">
        <f t="shared" si="4"/>
        <v>-3.852899999036393</v>
      </c>
    </row>
    <row r="12" spans="1:16" x14ac:dyDescent="0.25">
      <c r="A12" s="9">
        <v>44767.434675682867</v>
      </c>
      <c r="B12" t="s">
        <v>31</v>
      </c>
      <c r="C12">
        <v>10.000201819999999</v>
      </c>
      <c r="D12" s="1">
        <v>1.07703296180834E-7</v>
      </c>
      <c r="E12">
        <v>9.3636000000000001E-4</v>
      </c>
      <c r="F12" s="1">
        <v>9.6457244414299296E-7</v>
      </c>
      <c r="G12">
        <v>1591.5</v>
      </c>
      <c r="H12">
        <v>15</v>
      </c>
      <c r="I12" t="s">
        <v>117</v>
      </c>
      <c r="J12">
        <f t="shared" si="0"/>
        <v>10.000201820999999</v>
      </c>
      <c r="K12">
        <f t="shared" si="1"/>
        <v>9.0910999999999997E-4</v>
      </c>
      <c r="L12">
        <f t="shared" si="2"/>
        <v>9.0911988839628839E-6</v>
      </c>
      <c r="M12">
        <v>10</v>
      </c>
      <c r="N12">
        <f t="shared" si="3"/>
        <v>20.182099999876968</v>
      </c>
      <c r="O12">
        <f t="shared" si="4"/>
        <v>17.755390000827358</v>
      </c>
    </row>
    <row r="13" spans="1:16" x14ac:dyDescent="0.25">
      <c r="A13" s="9">
        <v>44767.43724078704</v>
      </c>
      <c r="B13" t="s">
        <v>33</v>
      </c>
      <c r="C13">
        <v>100.0041032</v>
      </c>
      <c r="D13" s="1">
        <v>3.99999998990097E-7</v>
      </c>
      <c r="E13">
        <v>8.8366999999999994E-3</v>
      </c>
      <c r="F13" s="1">
        <v>5.2725705305858298E-6</v>
      </c>
      <c r="G13">
        <v>1591.5</v>
      </c>
      <c r="H13">
        <v>15</v>
      </c>
      <c r="J13">
        <f t="shared" si="0"/>
        <v>100.00410320100001</v>
      </c>
      <c r="K13">
        <f t="shared" si="1"/>
        <v>8.8094499999999999E-3</v>
      </c>
      <c r="L13">
        <f t="shared" si="2"/>
        <v>8.8093621497526012E-6</v>
      </c>
      <c r="M13">
        <v>100</v>
      </c>
      <c r="N13">
        <f t="shared" si="3"/>
        <v>41.032010000163766</v>
      </c>
      <c r="O13">
        <f t="shared" si="4"/>
        <v>38.605300001114152</v>
      </c>
    </row>
    <row r="14" spans="1:16" x14ac:dyDescent="0.25">
      <c r="A14" s="9">
        <v>44767.439603634259</v>
      </c>
      <c r="B14" t="s">
        <v>34</v>
      </c>
      <c r="C14">
        <v>1000.032898</v>
      </c>
      <c r="D14" s="1">
        <v>4.0000000353756998E-6</v>
      </c>
      <c r="E14">
        <v>0.202788999999999</v>
      </c>
      <c r="F14">
        <v>1.08208132781227E-4</v>
      </c>
      <c r="G14">
        <v>1591.5</v>
      </c>
      <c r="H14">
        <v>1.5</v>
      </c>
      <c r="J14">
        <f t="shared" si="0"/>
        <v>1000.032898001</v>
      </c>
      <c r="K14">
        <f t="shared" si="1"/>
        <v>0.20276174999999899</v>
      </c>
      <c r="L14">
        <f t="shared" si="2"/>
        <v>2.027613771995097E-5</v>
      </c>
      <c r="M14">
        <v>1000</v>
      </c>
      <c r="N14">
        <f t="shared" si="3"/>
        <v>32.898001000036814</v>
      </c>
      <c r="O14">
        <f t="shared" si="4"/>
        <v>30.471291000987204</v>
      </c>
    </row>
    <row r="15" spans="1:16" x14ac:dyDescent="0.25">
      <c r="A15" s="9">
        <v>44767.443261145832</v>
      </c>
      <c r="B15" t="s">
        <v>35</v>
      </c>
      <c r="C15">
        <v>1000.016648</v>
      </c>
      <c r="D15" s="1">
        <v>3.99999998990097E-6</v>
      </c>
      <c r="E15">
        <v>0.207618</v>
      </c>
      <c r="F15" s="1">
        <v>3.7094473981982597E-5</v>
      </c>
      <c r="G15">
        <v>1591.5</v>
      </c>
      <c r="H15">
        <v>1.5</v>
      </c>
      <c r="J15">
        <f t="shared" si="0"/>
        <v>1000.016648001</v>
      </c>
      <c r="K15">
        <f t="shared" si="1"/>
        <v>0.20759074999999999</v>
      </c>
      <c r="L15">
        <f t="shared" si="2"/>
        <v>2.0759374160817284E-5</v>
      </c>
      <c r="M15">
        <v>1000</v>
      </c>
      <c r="N15">
        <f t="shared" si="3"/>
        <v>16.648000999985868</v>
      </c>
      <c r="O15">
        <f t="shared" si="4"/>
        <v>14.221291000936258</v>
      </c>
    </row>
    <row r="16" spans="1:16" x14ac:dyDescent="0.25">
      <c r="A16" s="9">
        <v>44767.445679212964</v>
      </c>
      <c r="B16" t="s">
        <v>36</v>
      </c>
      <c r="C16">
        <v>4.9999547709999996</v>
      </c>
      <c r="D16" s="1">
        <v>3.6180105161415397E-8</v>
      </c>
      <c r="E16">
        <v>2.6052999999999997E-4</v>
      </c>
      <c r="F16" s="1">
        <v>5.2924474489597096E-7</v>
      </c>
      <c r="G16">
        <v>1591.5</v>
      </c>
      <c r="H16">
        <v>15</v>
      </c>
      <c r="J16">
        <f t="shared" si="0"/>
        <v>4.9999547719999997</v>
      </c>
      <c r="K16">
        <f t="shared" si="1"/>
        <v>2.3327999999999996E-4</v>
      </c>
      <c r="L16">
        <f t="shared" si="2"/>
        <v>4.6657871152400782E-6</v>
      </c>
      <c r="M16">
        <v>5</v>
      </c>
      <c r="N16">
        <f t="shared" si="3"/>
        <v>-9.045600000034959</v>
      </c>
      <c r="O16">
        <f t="shared" si="4"/>
        <v>-11.472309999084569</v>
      </c>
    </row>
    <row r="17" spans="1:15" x14ac:dyDescent="0.25">
      <c r="A17" s="9">
        <v>44767.447732210647</v>
      </c>
      <c r="B17" t="s">
        <v>38</v>
      </c>
      <c r="C17">
        <v>5.000102225</v>
      </c>
      <c r="D17" s="1">
        <v>1.11377735761241E-7</v>
      </c>
      <c r="E17">
        <v>-1.3412999999999999E-4</v>
      </c>
      <c r="F17" s="1">
        <v>2.0847301983710002E-6</v>
      </c>
      <c r="G17">
        <v>1591.5</v>
      </c>
      <c r="H17">
        <v>15</v>
      </c>
      <c r="J17">
        <f t="shared" si="0"/>
        <v>5.0001022260000001</v>
      </c>
      <c r="K17">
        <f t="shared" si="1"/>
        <v>-1.6138E-4</v>
      </c>
      <c r="L17">
        <f t="shared" si="2"/>
        <v>-3.2276342574559713E-6</v>
      </c>
      <c r="M17">
        <v>5</v>
      </c>
      <c r="N17">
        <f t="shared" si="3"/>
        <v>20.445200000107633</v>
      </c>
      <c r="O17">
        <f t="shared" si="4"/>
        <v>18.018490001058023</v>
      </c>
    </row>
    <row r="18" spans="1:15" x14ac:dyDescent="0.25">
      <c r="A18" s="9">
        <v>44767.449584386573</v>
      </c>
      <c r="B18" t="s">
        <v>40</v>
      </c>
      <c r="C18">
        <v>0.50005171900000001</v>
      </c>
      <c r="D18" s="1">
        <v>9.9844879704553498E-8</v>
      </c>
      <c r="E18" s="1">
        <v>7.7080000000000001E-5</v>
      </c>
      <c r="F18" s="1">
        <v>6.5391130897087196E-7</v>
      </c>
      <c r="G18">
        <v>1591.5</v>
      </c>
      <c r="H18">
        <v>15</v>
      </c>
      <c r="J18">
        <f t="shared" si="0"/>
        <v>0.50005171999999998</v>
      </c>
      <c r="K18">
        <f t="shared" si="1"/>
        <v>4.9830000000000002E-5</v>
      </c>
      <c r="L18">
        <f t="shared" si="2"/>
        <v>9.9652787288213806E-6</v>
      </c>
      <c r="M18">
        <v>0.5</v>
      </c>
      <c r="N18">
        <f t="shared" si="3"/>
        <v>103.43999999995468</v>
      </c>
      <c r="O18">
        <f t="shared" si="4"/>
        <v>101.01329000090507</v>
      </c>
    </row>
    <row r="19" spans="1:15" x14ac:dyDescent="0.25">
      <c r="A19" s="9">
        <v>44767.455835532404</v>
      </c>
      <c r="B19" t="s">
        <v>42</v>
      </c>
      <c r="C19">
        <v>1000.152211</v>
      </c>
      <c r="D19" s="1">
        <v>3.0000000265317702E-6</v>
      </c>
      <c r="E19">
        <v>0.11648500000000001</v>
      </c>
      <c r="F19" s="1">
        <v>1.4999999999999701E-5</v>
      </c>
      <c r="G19">
        <v>1591.5</v>
      </c>
      <c r="H19">
        <v>1.5</v>
      </c>
      <c r="I19" t="s">
        <v>118</v>
      </c>
      <c r="J19">
        <f t="shared" si="0"/>
        <v>1000.152211001</v>
      </c>
      <c r="K19">
        <f t="shared" si="1"/>
        <v>0.11645775</v>
      </c>
      <c r="L19">
        <f t="shared" si="2"/>
        <v>1.1644364309586564E-5</v>
      </c>
      <c r="M19">
        <v>1000</v>
      </c>
      <c r="N19">
        <f t="shared" si="3"/>
        <v>152.21100099993555</v>
      </c>
      <c r="O19">
        <f t="shared" si="4"/>
        <v>149.78429100088593</v>
      </c>
    </row>
    <row r="20" spans="1:15" x14ac:dyDescent="0.25">
      <c r="A20" s="9">
        <v>44767.459424085646</v>
      </c>
      <c r="B20" t="s">
        <v>44</v>
      </c>
      <c r="C20">
        <v>10.00036145</v>
      </c>
      <c r="D20" s="1">
        <v>1.2041594579369001E-7</v>
      </c>
      <c r="E20">
        <v>4.8558999999999999E-4</v>
      </c>
      <c r="F20" s="1">
        <v>1.48084435373876E-6</v>
      </c>
      <c r="G20">
        <v>1591.5</v>
      </c>
      <c r="H20">
        <v>15</v>
      </c>
      <c r="I20" t="s">
        <v>119</v>
      </c>
      <c r="J20">
        <f t="shared" si="0"/>
        <v>10.000361451</v>
      </c>
      <c r="K20">
        <f t="shared" si="1"/>
        <v>4.5834000000000001E-4</v>
      </c>
      <c r="L20">
        <f t="shared" si="2"/>
        <v>4.5833766907106445E-6</v>
      </c>
      <c r="M20">
        <v>10</v>
      </c>
      <c r="N20">
        <f t="shared" si="3"/>
        <v>36.1450999999402</v>
      </c>
      <c r="O20">
        <f t="shared" si="4"/>
        <v>33.718390000890587</v>
      </c>
    </row>
    <row r="21" spans="1:15" x14ac:dyDescent="0.25">
      <c r="A21" s="9">
        <v>44767.462761261573</v>
      </c>
      <c r="B21" t="s">
        <v>46</v>
      </c>
      <c r="C21">
        <v>10.000101129999999</v>
      </c>
      <c r="D21" s="1">
        <v>1.18743421001418E-7</v>
      </c>
      <c r="E21">
        <v>4.8637999999999899E-4</v>
      </c>
      <c r="F21" s="1">
        <v>1.5393505123915099E-6</v>
      </c>
      <c r="G21">
        <v>1591.5</v>
      </c>
      <c r="H21">
        <v>15</v>
      </c>
      <c r="J21">
        <f t="shared" si="0"/>
        <v>10.000101130999999</v>
      </c>
      <c r="K21">
        <f t="shared" si="1"/>
        <v>4.59129999999999E-4</v>
      </c>
      <c r="L21">
        <f t="shared" si="2"/>
        <v>4.5913961694395404E-6</v>
      </c>
      <c r="M21">
        <v>10</v>
      </c>
      <c r="N21">
        <f t="shared" si="3"/>
        <v>10.11309999987553</v>
      </c>
      <c r="O21">
        <f t="shared" si="4"/>
        <v>7.6863900008259192</v>
      </c>
    </row>
    <row r="22" spans="1:15" x14ac:dyDescent="0.25">
      <c r="A22" s="9">
        <v>44767.463687256946</v>
      </c>
      <c r="B22" t="s">
        <v>47</v>
      </c>
      <c r="C22">
        <v>10.000079850000001</v>
      </c>
      <c r="D22" s="1">
        <v>1.2845232597400999E-7</v>
      </c>
      <c r="E22">
        <v>4.752E-4</v>
      </c>
      <c r="F22" s="1">
        <v>1.14367827643965E-6</v>
      </c>
      <c r="G22">
        <v>1591.5</v>
      </c>
      <c r="H22">
        <v>15</v>
      </c>
      <c r="J22">
        <f t="shared" si="0"/>
        <v>10.000079851000001</v>
      </c>
      <c r="K22">
        <f t="shared" si="1"/>
        <v>4.4795000000000002E-4</v>
      </c>
      <c r="L22">
        <f t="shared" si="2"/>
        <v>4.4796033601745978E-6</v>
      </c>
      <c r="M22">
        <v>10</v>
      </c>
      <c r="N22">
        <f t="shared" si="3"/>
        <v>7.9851000001074368</v>
      </c>
      <c r="O22">
        <f t="shared" si="4"/>
        <v>5.558390001057826</v>
      </c>
    </row>
    <row r="23" spans="1:15" x14ac:dyDescent="0.25">
      <c r="A23" s="9">
        <v>44767.465833483795</v>
      </c>
      <c r="B23" t="s">
        <v>48</v>
      </c>
      <c r="C23">
        <v>10.0001738899999</v>
      </c>
      <c r="D23" s="1">
        <v>1.37477271046848E-7</v>
      </c>
      <c r="E23">
        <v>5.0865999999999997E-4</v>
      </c>
      <c r="F23" s="1">
        <v>1.8380424369420601E-6</v>
      </c>
      <c r="G23">
        <v>1591.5</v>
      </c>
      <c r="H23">
        <v>15</v>
      </c>
      <c r="J23">
        <f t="shared" si="0"/>
        <v>10.0001738909999</v>
      </c>
      <c r="K23">
        <f t="shared" si="1"/>
        <v>4.8140999999999999E-4</v>
      </c>
      <c r="L23">
        <f t="shared" si="2"/>
        <v>4.8141658086955954E-6</v>
      </c>
      <c r="M23">
        <v>10</v>
      </c>
      <c r="N23">
        <f t="shared" si="3"/>
        <v>17.389099989939538</v>
      </c>
      <c r="O23">
        <f t="shared" si="4"/>
        <v>14.962389990889928</v>
      </c>
    </row>
    <row r="24" spans="1:15" x14ac:dyDescent="0.25">
      <c r="A24" s="9">
        <v>44767.466627766204</v>
      </c>
      <c r="B24" t="s">
        <v>49</v>
      </c>
      <c r="C24">
        <v>9.9999710519999994</v>
      </c>
      <c r="D24" s="1">
        <v>1.26317061380364E-7</v>
      </c>
      <c r="E24">
        <v>4.7852999999999898E-4</v>
      </c>
      <c r="F24" s="1">
        <v>8.0131142510262397E-7</v>
      </c>
      <c r="G24">
        <v>1591.5</v>
      </c>
      <c r="H24">
        <v>15</v>
      </c>
      <c r="J24">
        <f t="shared" si="0"/>
        <v>9.9999710529999994</v>
      </c>
      <c r="K24">
        <f t="shared" si="1"/>
        <v>4.51279999999999E-4</v>
      </c>
      <c r="L24">
        <f t="shared" si="2"/>
        <v>4.5129532281766792E-6</v>
      </c>
      <c r="M24">
        <v>10</v>
      </c>
      <c r="N24">
        <f t="shared" si="3"/>
        <v>-2.8947000000334455</v>
      </c>
      <c r="O24">
        <f t="shared" si="4"/>
        <v>-5.3214099990830563</v>
      </c>
    </row>
    <row r="25" spans="1:15" x14ac:dyDescent="0.25">
      <c r="A25" s="9">
        <v>44767.468505393517</v>
      </c>
      <c r="B25" t="s">
        <v>50</v>
      </c>
      <c r="C25">
        <v>10.00018026</v>
      </c>
      <c r="D25" s="1">
        <v>2.0099751252651699E-7</v>
      </c>
      <c r="E25">
        <v>5.0831999999999895E-4</v>
      </c>
      <c r="F25" s="1">
        <v>1.19314709906196E-6</v>
      </c>
      <c r="G25">
        <v>1591.5</v>
      </c>
      <c r="H25">
        <v>15</v>
      </c>
      <c r="J25">
        <f t="shared" si="0"/>
        <v>10.000180261000001</v>
      </c>
      <c r="K25">
        <f t="shared" si="1"/>
        <v>4.8106999999999897E-4</v>
      </c>
      <c r="L25">
        <f t="shared" si="2"/>
        <v>4.8107626978150205E-6</v>
      </c>
      <c r="M25">
        <v>10</v>
      </c>
      <c r="N25">
        <f t="shared" si="3"/>
        <v>18.02610000001259</v>
      </c>
      <c r="O25">
        <f t="shared" si="4"/>
        <v>15.59939000096298</v>
      </c>
    </row>
    <row r="26" spans="1:15" x14ac:dyDescent="0.25">
      <c r="A26" s="9">
        <v>44767.469320625001</v>
      </c>
      <c r="B26" t="s">
        <v>51</v>
      </c>
      <c r="C26">
        <v>10.000303450000001</v>
      </c>
      <c r="D26" s="1">
        <v>1.11803398910477E-7</v>
      </c>
      <c r="E26">
        <v>4.9697999999999995E-4</v>
      </c>
      <c r="F26" s="1">
        <v>9.2498648638776304E-7</v>
      </c>
      <c r="G26">
        <v>1591.5</v>
      </c>
      <c r="H26">
        <v>15</v>
      </c>
      <c r="J26">
        <f t="shared" si="0"/>
        <v>10.000303451000001</v>
      </c>
      <c r="K26">
        <f t="shared" si="1"/>
        <v>4.6972999999999996E-4</v>
      </c>
      <c r="L26">
        <f t="shared" si="2"/>
        <v>4.6973033548367805E-6</v>
      </c>
      <c r="M26">
        <v>10</v>
      </c>
      <c r="N26">
        <f t="shared" si="3"/>
        <v>30.345100000106484</v>
      </c>
      <c r="O26">
        <f t="shared" si="4"/>
        <v>27.918390001056874</v>
      </c>
    </row>
    <row r="27" spans="1:15" x14ac:dyDescent="0.25">
      <c r="A27" s="9">
        <v>44767.470201342592</v>
      </c>
      <c r="B27" t="s">
        <v>53</v>
      </c>
      <c r="C27">
        <v>10.000214400000001</v>
      </c>
      <c r="D27" s="1">
        <v>8.9442719152214205E-8</v>
      </c>
      <c r="E27">
        <v>4.9701999999999895E-4</v>
      </c>
      <c r="F27" s="1">
        <v>9.1520489509180197E-7</v>
      </c>
      <c r="G27">
        <v>1591.5</v>
      </c>
      <c r="H27">
        <v>15</v>
      </c>
      <c r="J27">
        <f t="shared" si="0"/>
        <v>10.000214401000001</v>
      </c>
      <c r="K27">
        <f t="shared" si="1"/>
        <v>4.6976999999999897E-4</v>
      </c>
      <c r="L27">
        <f t="shared" si="2"/>
        <v>4.6977451872739453E-6</v>
      </c>
      <c r="M27">
        <v>10</v>
      </c>
      <c r="N27">
        <f t="shared" si="3"/>
        <v>21.44010000004748</v>
      </c>
      <c r="O27">
        <f t="shared" si="4"/>
        <v>19.01339000099787</v>
      </c>
    </row>
    <row r="28" spans="1:15" x14ac:dyDescent="0.25">
      <c r="A28" s="9">
        <v>44767.4710352662</v>
      </c>
      <c r="B28" t="s">
        <v>54</v>
      </c>
      <c r="C28">
        <v>10.00033846</v>
      </c>
      <c r="D28" s="1">
        <v>1.0198039020946799E-7</v>
      </c>
      <c r="E28">
        <v>5.0057999999999895E-4</v>
      </c>
      <c r="F28" s="1">
        <v>1.47566933965574E-6</v>
      </c>
      <c r="G28">
        <v>1591.5</v>
      </c>
      <c r="H28">
        <v>15</v>
      </c>
      <c r="J28">
        <f t="shared" si="0"/>
        <v>10.000338461</v>
      </c>
      <c r="K28">
        <f t="shared" si="1"/>
        <v>4.7332999999999897E-4</v>
      </c>
      <c r="L28">
        <f t="shared" si="2"/>
        <v>4.7332868098138826E-6</v>
      </c>
      <c r="M28">
        <v>10</v>
      </c>
      <c r="N28">
        <f t="shared" si="3"/>
        <v>33.846100000012314</v>
      </c>
      <c r="O28">
        <f t="shared" si="4"/>
        <v>31.419390000962704</v>
      </c>
    </row>
    <row r="29" spans="1:15" x14ac:dyDescent="0.25">
      <c r="A29" s="9">
        <v>44767.4720422338</v>
      </c>
      <c r="B29" t="s">
        <v>55</v>
      </c>
      <c r="C29">
        <v>10.000402139999901</v>
      </c>
      <c r="D29" s="1">
        <v>1.35646599676227E-7</v>
      </c>
      <c r="E29">
        <v>4.9233999999999997E-4</v>
      </c>
      <c r="F29" s="1">
        <v>1.4437451298619301E-6</v>
      </c>
      <c r="G29">
        <v>1591.5</v>
      </c>
      <c r="H29">
        <v>15</v>
      </c>
      <c r="J29">
        <f t="shared" si="0"/>
        <v>10.000402140999901</v>
      </c>
      <c r="K29">
        <f t="shared" si="1"/>
        <v>4.6508999999999998E-4</v>
      </c>
      <c r="L29">
        <f t="shared" si="2"/>
        <v>4.6508574237785605E-6</v>
      </c>
      <c r="M29">
        <v>10</v>
      </c>
      <c r="N29">
        <f t="shared" si="3"/>
        <v>40.214099989999141</v>
      </c>
      <c r="O29">
        <f t="shared" si="4"/>
        <v>37.787389990949528</v>
      </c>
    </row>
    <row r="30" spans="1:15" x14ac:dyDescent="0.25">
      <c r="A30" s="9">
        <v>44767.473509479169</v>
      </c>
      <c r="B30" t="s">
        <v>56</v>
      </c>
      <c r="C30">
        <v>10.00021003</v>
      </c>
      <c r="D30" s="1">
        <v>1.34536240682974E-7</v>
      </c>
      <c r="E30">
        <v>4.8682E-4</v>
      </c>
      <c r="F30" s="1">
        <v>1.1522152576667201E-6</v>
      </c>
      <c r="G30">
        <v>1591.5</v>
      </c>
      <c r="H30">
        <v>15</v>
      </c>
      <c r="I30" t="s">
        <v>120</v>
      </c>
      <c r="J30">
        <f t="shared" si="0"/>
        <v>10.000210031</v>
      </c>
      <c r="K30">
        <f t="shared" si="1"/>
        <v>4.5957000000000002E-4</v>
      </c>
      <c r="L30">
        <f t="shared" si="2"/>
        <v>4.5957462144318733E-6</v>
      </c>
      <c r="M30">
        <v>10</v>
      </c>
      <c r="N30">
        <f t="shared" si="3"/>
        <v>21.003100000083208</v>
      </c>
      <c r="O30">
        <f t="shared" si="4"/>
        <v>18.576390001033598</v>
      </c>
    </row>
    <row r="33" spans="3:8" x14ac:dyDescent="0.25">
      <c r="C33">
        <v>9.9999731220000001</v>
      </c>
      <c r="D33" s="1">
        <v>1.0390380166055E-7</v>
      </c>
      <c r="E33">
        <v>-2.0693E-4</v>
      </c>
      <c r="F33" s="1">
        <v>7.6295478240849998E-7</v>
      </c>
      <c r="G33">
        <v>1591.5</v>
      </c>
      <c r="H33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ED13-295B-4AAF-8BED-3C604F5BBF03}">
  <dimension ref="A1:P33"/>
  <sheetViews>
    <sheetView workbookViewId="0">
      <selection activeCell="A3" sqref="A3"/>
    </sheetView>
  </sheetViews>
  <sheetFormatPr defaultRowHeight="15" x14ac:dyDescent="0.25"/>
  <cols>
    <col min="1" max="1" width="15.28515625" customWidth="1"/>
    <col min="9" max="9" width="5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-2.4228500000625006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9">
        <v>44774.447985324077</v>
      </c>
      <c r="B3" t="s">
        <v>17</v>
      </c>
      <c r="C3" s="1">
        <v>-1.64999999999999E-7</v>
      </c>
      <c r="D3" s="1">
        <v>6.60681466366357E-8</v>
      </c>
      <c r="E3" s="1">
        <v>2.8999999999999899E-5</v>
      </c>
      <c r="F3" s="1">
        <v>6.7527772064536402E-7</v>
      </c>
      <c r="G3">
        <v>1591.5</v>
      </c>
      <c r="H3">
        <v>15</v>
      </c>
      <c r="I3" t="s">
        <v>121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9">
        <v>44774.452112951389</v>
      </c>
      <c r="B4" t="s">
        <v>21</v>
      </c>
      <c r="C4">
        <v>9.9999758280000002</v>
      </c>
      <c r="D4" s="1">
        <v>9.6104110106680398E-8</v>
      </c>
      <c r="E4">
        <v>-1.5615E-4</v>
      </c>
      <c r="F4" s="1">
        <v>4.5880278987818E-7</v>
      </c>
      <c r="G4">
        <v>1591.5</v>
      </c>
      <c r="H4">
        <v>15</v>
      </c>
      <c r="J4">
        <f t="shared" ref="J4:J30" si="0">C4-C$3</f>
        <v>9.9999759929999996</v>
      </c>
      <c r="K4">
        <f>E4-E$3</f>
        <v>-1.8514999999999989E-4</v>
      </c>
      <c r="L4">
        <f>K4*0.000000001/(2*PI()*J4*G4*0.000000000001)</f>
        <v>-1.8515619513887546E-6</v>
      </c>
      <c r="M4">
        <v>10</v>
      </c>
      <c r="N4">
        <f>(J4/M4-1)*1000000</f>
        <v>-2.4007000000159096</v>
      </c>
      <c r="O4">
        <f>N4+P$1</f>
        <v>-4.8235500000784102</v>
      </c>
    </row>
    <row r="5" spans="1:16" x14ac:dyDescent="0.25">
      <c r="A5" s="9">
        <v>44774.453624351852</v>
      </c>
      <c r="B5" t="s">
        <v>23</v>
      </c>
      <c r="C5">
        <v>9.9999784369999993</v>
      </c>
      <c r="D5" s="1">
        <v>5.5865911252269798E-8</v>
      </c>
      <c r="E5">
        <v>-1.2537E-4</v>
      </c>
      <c r="F5" s="1">
        <v>7.7852424496607401E-7</v>
      </c>
      <c r="G5">
        <v>1591.5</v>
      </c>
      <c r="H5">
        <v>15</v>
      </c>
      <c r="J5">
        <f t="shared" si="0"/>
        <v>9.9999786019999988</v>
      </c>
      <c r="K5">
        <f t="shared" ref="K5:K30" si="1">E5-E$3</f>
        <v>-1.5436999999999989E-4</v>
      </c>
      <c r="L5">
        <f t="shared" ref="L5:L30" si="2">K5*0.000000001/(2*PI()*J5*G5*0.000000000001)</f>
        <v>-1.5437512496020448E-6</v>
      </c>
      <c r="M5">
        <v>10</v>
      </c>
      <c r="N5">
        <f t="shared" ref="N5:N30" si="3">(J5/M5-1)*1000000</f>
        <v>-2.1398000000782957</v>
      </c>
      <c r="O5">
        <f t="shared" ref="O5:O30" si="4">N5+P$1</f>
        <v>-4.5626500001407964</v>
      </c>
    </row>
    <row r="6" spans="1:16" x14ac:dyDescent="0.25">
      <c r="A6" s="9">
        <v>44774.455054745369</v>
      </c>
      <c r="B6" t="s">
        <v>24</v>
      </c>
      <c r="C6">
        <v>99.999822120000005</v>
      </c>
      <c r="D6" s="1">
        <v>7.4833147850384402E-8</v>
      </c>
      <c r="E6">
        <v>1.72E-3</v>
      </c>
      <c r="F6" s="1">
        <v>1.4142135623731199E-6</v>
      </c>
      <c r="G6">
        <v>1591.5</v>
      </c>
      <c r="H6">
        <v>15</v>
      </c>
      <c r="J6">
        <f t="shared" si="0"/>
        <v>99.999822285000008</v>
      </c>
      <c r="K6">
        <f t="shared" si="1"/>
        <v>1.691E-3</v>
      </c>
      <c r="L6">
        <f t="shared" si="2"/>
        <v>1.6910555265813211E-6</v>
      </c>
      <c r="M6">
        <v>100</v>
      </c>
      <c r="N6">
        <f t="shared" si="3"/>
        <v>-1.7771499999374996</v>
      </c>
      <c r="O6">
        <f t="shared" si="4"/>
        <v>-4.2</v>
      </c>
    </row>
    <row r="7" spans="1:16" x14ac:dyDescent="0.25">
      <c r="A7" s="9">
        <v>44774.456097523151</v>
      </c>
      <c r="B7" t="s">
        <v>25</v>
      </c>
      <c r="C7">
        <v>99.999817829999998</v>
      </c>
      <c r="D7" s="1">
        <v>9.0000001446494799E-8</v>
      </c>
      <c r="E7">
        <v>2.0945999999999998E-3</v>
      </c>
      <c r="F7" s="1">
        <v>1.4282856857086801E-6</v>
      </c>
      <c r="G7">
        <v>1591.5</v>
      </c>
      <c r="H7">
        <v>15</v>
      </c>
      <c r="I7" t="s">
        <v>122</v>
      </c>
      <c r="J7">
        <f t="shared" si="0"/>
        <v>99.999817995000001</v>
      </c>
      <c r="K7">
        <f t="shared" si="1"/>
        <v>2.0655999999999999E-3</v>
      </c>
      <c r="L7">
        <f t="shared" si="2"/>
        <v>2.0656679157647837E-6</v>
      </c>
      <c r="M7">
        <v>100</v>
      </c>
      <c r="N7">
        <f t="shared" si="3"/>
        <v>-1.8200500000453701</v>
      </c>
      <c r="O7">
        <f t="shared" si="4"/>
        <v>-4.2429000001078707</v>
      </c>
    </row>
    <row r="8" spans="1:16" x14ac:dyDescent="0.25">
      <c r="A8" s="9">
        <v>44774.457823715275</v>
      </c>
      <c r="B8" t="s">
        <v>26</v>
      </c>
      <c r="C8">
        <v>9.9999755290000003</v>
      </c>
      <c r="D8" s="1">
        <v>5.1662365529900103E-8</v>
      </c>
      <c r="E8">
        <v>-2.7999999999999998E-4</v>
      </c>
      <c r="F8" s="1">
        <v>1.0039920318408901E-6</v>
      </c>
      <c r="G8">
        <v>1591.5</v>
      </c>
      <c r="H8">
        <v>15</v>
      </c>
      <c r="J8">
        <f t="shared" si="0"/>
        <v>9.9999756939999997</v>
      </c>
      <c r="K8">
        <f t="shared" si="1"/>
        <v>-3.0899999999999987E-4</v>
      </c>
      <c r="L8">
        <f t="shared" si="2"/>
        <v>-3.0901034841260209E-6</v>
      </c>
      <c r="M8">
        <v>10</v>
      </c>
      <c r="N8">
        <f t="shared" si="3"/>
        <v>-2.430600000047356</v>
      </c>
      <c r="O8">
        <f t="shared" si="4"/>
        <v>-4.8534500001098566</v>
      </c>
    </row>
    <row r="9" spans="1:16" x14ac:dyDescent="0.25">
      <c r="A9" s="9">
        <v>44774.458753321756</v>
      </c>
      <c r="B9" t="s">
        <v>28</v>
      </c>
      <c r="C9">
        <v>9.9999732510000001</v>
      </c>
      <c r="D9" s="1">
        <v>9.5441081433373995E-8</v>
      </c>
      <c r="E9">
        <v>-2.4174999999999999E-4</v>
      </c>
      <c r="F9" s="1">
        <v>1.1253888216967501E-6</v>
      </c>
      <c r="G9">
        <v>1591.5</v>
      </c>
      <c r="H9">
        <v>15</v>
      </c>
      <c r="J9">
        <f t="shared" si="0"/>
        <v>9.9999734159999996</v>
      </c>
      <c r="K9">
        <f t="shared" si="1"/>
        <v>-2.7074999999999989E-4</v>
      </c>
      <c r="L9">
        <f t="shared" si="2"/>
        <v>-2.7075912909885955E-6</v>
      </c>
      <c r="M9">
        <v>10</v>
      </c>
      <c r="N9">
        <f t="shared" si="3"/>
        <v>-2.6584000000218211</v>
      </c>
      <c r="O9">
        <f t="shared" si="4"/>
        <v>-5.0812500000843217</v>
      </c>
    </row>
    <row r="10" spans="1:16" x14ac:dyDescent="0.25">
      <c r="A10" s="9">
        <v>44774.459919953704</v>
      </c>
      <c r="B10" t="s">
        <v>29</v>
      </c>
      <c r="C10">
        <v>99.999782440000004</v>
      </c>
      <c r="D10" s="1">
        <v>9.1651510938783902E-8</v>
      </c>
      <c r="E10">
        <v>7.9670000000000001E-4</v>
      </c>
      <c r="F10" s="1">
        <v>1.0999999999999799E-6</v>
      </c>
      <c r="G10">
        <v>1591.5</v>
      </c>
      <c r="H10">
        <v>15</v>
      </c>
      <c r="J10">
        <f t="shared" si="0"/>
        <v>99.999782605000007</v>
      </c>
      <c r="K10">
        <f t="shared" si="1"/>
        <v>7.6770000000000007E-4</v>
      </c>
      <c r="L10">
        <f t="shared" si="2"/>
        <v>7.677255132422333E-7</v>
      </c>
      <c r="M10">
        <v>100</v>
      </c>
      <c r="N10">
        <f t="shared" si="3"/>
        <v>-2.1739499999062772</v>
      </c>
      <c r="O10">
        <f t="shared" si="4"/>
        <v>-4.5967999999687779</v>
      </c>
    </row>
    <row r="11" spans="1:16" x14ac:dyDescent="0.25">
      <c r="A11" s="9">
        <v>44774.462861041669</v>
      </c>
      <c r="B11" t="s">
        <v>30</v>
      </c>
      <c r="C11">
        <v>99.999857859999906</v>
      </c>
      <c r="D11" s="1">
        <v>1.11355285495095E-7</v>
      </c>
      <c r="E11">
        <v>8.7960000000000002E-4</v>
      </c>
      <c r="F11" s="1">
        <v>1.28062484748656E-6</v>
      </c>
      <c r="G11">
        <v>1591.5</v>
      </c>
      <c r="H11">
        <v>15</v>
      </c>
      <c r="I11" t="s">
        <v>123</v>
      </c>
      <c r="J11">
        <f t="shared" si="0"/>
        <v>99.999858024999909</v>
      </c>
      <c r="K11">
        <f t="shared" si="1"/>
        <v>8.5060000000000008E-4</v>
      </c>
      <c r="L11">
        <f t="shared" si="2"/>
        <v>8.5062762674213766E-7</v>
      </c>
      <c r="M11">
        <v>100</v>
      </c>
      <c r="N11">
        <f t="shared" si="3"/>
        <v>-1.4197500008972241</v>
      </c>
      <c r="O11">
        <f t="shared" si="4"/>
        <v>-3.8426000009597248</v>
      </c>
    </row>
    <row r="12" spans="1:16" x14ac:dyDescent="0.25">
      <c r="A12" s="9">
        <v>44774.465475879631</v>
      </c>
      <c r="B12" t="s">
        <v>31</v>
      </c>
      <c r="C12">
        <v>10.000202779999899</v>
      </c>
      <c r="D12" s="1">
        <v>1.2489996026133701E-7</v>
      </c>
      <c r="E12">
        <v>9.4339000000000001E-4</v>
      </c>
      <c r="F12" s="1">
        <v>5.2239831546433001E-7</v>
      </c>
      <c r="G12">
        <v>1591.5</v>
      </c>
      <c r="H12">
        <v>15</v>
      </c>
      <c r="J12">
        <f t="shared" si="0"/>
        <v>10.000202944999899</v>
      </c>
      <c r="K12">
        <f t="shared" si="1"/>
        <v>9.1439000000000006E-4</v>
      </c>
      <c r="L12">
        <f t="shared" si="2"/>
        <v>9.1439984305042892E-6</v>
      </c>
      <c r="M12">
        <v>10</v>
      </c>
      <c r="N12">
        <f t="shared" si="3"/>
        <v>20.294499989859105</v>
      </c>
      <c r="O12">
        <f t="shared" si="4"/>
        <v>17.871649989796605</v>
      </c>
    </row>
    <row r="13" spans="1:16" x14ac:dyDescent="0.25">
      <c r="A13" s="9">
        <v>44774.469022476849</v>
      </c>
      <c r="B13" t="s">
        <v>33</v>
      </c>
      <c r="C13">
        <v>100.004105</v>
      </c>
      <c r="D13">
        <v>0</v>
      </c>
      <c r="E13">
        <v>8.96739999999999E-3</v>
      </c>
      <c r="F13" s="1">
        <v>3.5510561809128699E-6</v>
      </c>
      <c r="G13">
        <v>1591.5</v>
      </c>
      <c r="H13">
        <v>15</v>
      </c>
      <c r="J13">
        <f t="shared" si="0"/>
        <v>100.004105165</v>
      </c>
      <c r="K13">
        <f t="shared" si="1"/>
        <v>8.9383999999999905E-3</v>
      </c>
      <c r="L13">
        <f t="shared" si="2"/>
        <v>8.9383106882866667E-6</v>
      </c>
      <c r="M13">
        <v>100</v>
      </c>
      <c r="N13">
        <f t="shared" si="3"/>
        <v>41.05165000001243</v>
      </c>
      <c r="O13">
        <f t="shared" si="4"/>
        <v>38.628799999949926</v>
      </c>
    </row>
    <row r="14" spans="1:16" x14ac:dyDescent="0.25">
      <c r="A14" s="9">
        <v>44774.47099386574</v>
      </c>
      <c r="B14" t="s">
        <v>34</v>
      </c>
      <c r="C14">
        <v>1000.03290899999</v>
      </c>
      <c r="D14" s="1">
        <v>2.9999999924257298E-6</v>
      </c>
      <c r="E14">
        <v>0.20358799999999999</v>
      </c>
      <c r="F14" s="1">
        <v>3.2496153618539203E-5</v>
      </c>
      <c r="G14">
        <v>1591.5</v>
      </c>
      <c r="H14">
        <v>1.5</v>
      </c>
      <c r="J14">
        <f t="shared" si="0"/>
        <v>1000.03290916499</v>
      </c>
      <c r="K14">
        <f t="shared" si="1"/>
        <v>0.20355899999999999</v>
      </c>
      <c r="L14">
        <f t="shared" si="2"/>
        <v>2.0355862346122442E-5</v>
      </c>
      <c r="M14">
        <v>1000</v>
      </c>
      <c r="N14">
        <f t="shared" si="3"/>
        <v>32.909164989991524</v>
      </c>
      <c r="O14">
        <f t="shared" si="4"/>
        <v>30.486314989929024</v>
      </c>
    </row>
    <row r="15" spans="1:16" x14ac:dyDescent="0.25">
      <c r="A15" s="9">
        <v>44774.473982361109</v>
      </c>
      <c r="B15" t="s">
        <v>35</v>
      </c>
      <c r="C15">
        <v>1000.01665299999</v>
      </c>
      <c r="D15" s="1">
        <v>4.5825756833859497E-6</v>
      </c>
      <c r="E15">
        <v>0.20871500000000001</v>
      </c>
      <c r="F15" s="1">
        <v>3.2015621187166698E-5</v>
      </c>
      <c r="G15">
        <v>1591.5</v>
      </c>
      <c r="H15">
        <v>1.5</v>
      </c>
      <c r="J15">
        <f t="shared" si="0"/>
        <v>1000.01665316499</v>
      </c>
      <c r="K15">
        <f t="shared" si="1"/>
        <v>0.20868600000000001</v>
      </c>
      <c r="L15">
        <f t="shared" si="2"/>
        <v>2.0868900631426493E-5</v>
      </c>
      <c r="M15">
        <v>1000</v>
      </c>
      <c r="N15">
        <f t="shared" si="3"/>
        <v>16.653164989888225</v>
      </c>
      <c r="O15">
        <f t="shared" si="4"/>
        <v>14.230314989825725</v>
      </c>
    </row>
    <row r="16" spans="1:16" x14ac:dyDescent="0.25">
      <c r="A16" s="9">
        <v>44774.475991840278</v>
      </c>
      <c r="B16" t="s">
        <v>36</v>
      </c>
      <c r="C16">
        <v>4.9999552610000002</v>
      </c>
      <c r="D16" s="1">
        <v>8.9938868242237599E-8</v>
      </c>
      <c r="E16">
        <v>2.6272999999999997E-4</v>
      </c>
      <c r="F16" s="1">
        <v>4.6054315758678899E-7</v>
      </c>
      <c r="G16">
        <v>1591.5</v>
      </c>
      <c r="H16">
        <v>15</v>
      </c>
      <c r="J16">
        <f t="shared" si="0"/>
        <v>4.9999554260000005</v>
      </c>
      <c r="K16">
        <f t="shared" si="1"/>
        <v>2.3373000000000008E-4</v>
      </c>
      <c r="L16">
        <f t="shared" si="2"/>
        <v>4.6747868647200342E-6</v>
      </c>
      <c r="M16">
        <v>5</v>
      </c>
      <c r="N16">
        <f t="shared" si="3"/>
        <v>-8.9147999998706595</v>
      </c>
      <c r="O16">
        <f t="shared" si="4"/>
        <v>-11.337649999933159</v>
      </c>
    </row>
    <row r="17" spans="1:15" x14ac:dyDescent="0.25">
      <c r="A17" s="9">
        <v>44774.479143703706</v>
      </c>
      <c r="B17" t="s">
        <v>38</v>
      </c>
      <c r="C17">
        <v>5.0001027899999997</v>
      </c>
      <c r="D17" s="1">
        <v>8.9330845730502404E-8</v>
      </c>
      <c r="E17">
        <v>-1.7852999999999901E-4</v>
      </c>
      <c r="F17" s="1">
        <v>2.1679714020254E-6</v>
      </c>
      <c r="G17">
        <v>1591.5</v>
      </c>
      <c r="H17">
        <v>15</v>
      </c>
      <c r="J17">
        <f t="shared" si="0"/>
        <v>5.000102955</v>
      </c>
      <c r="K17">
        <f t="shared" si="1"/>
        <v>-2.075299999999989E-4</v>
      </c>
      <c r="L17">
        <f t="shared" si="2"/>
        <v>-4.150643448943453E-6</v>
      </c>
      <c r="M17">
        <v>5</v>
      </c>
      <c r="N17">
        <f t="shared" si="3"/>
        <v>20.590999999958726</v>
      </c>
      <c r="O17">
        <f t="shared" si="4"/>
        <v>18.168149999896226</v>
      </c>
    </row>
    <row r="18" spans="1:15" x14ac:dyDescent="0.25">
      <c r="A18" s="9">
        <v>44774.486579942131</v>
      </c>
      <c r="B18" t="s">
        <v>40</v>
      </c>
      <c r="C18">
        <v>0.50005174699999999</v>
      </c>
      <c r="D18" s="1">
        <v>8.4029756649870895E-8</v>
      </c>
      <c r="E18" s="1">
        <v>7.5420000000000006E-5</v>
      </c>
      <c r="F18" s="1">
        <v>6.8818602136341201E-7</v>
      </c>
      <c r="G18">
        <v>1591.5</v>
      </c>
      <c r="H18">
        <v>15</v>
      </c>
      <c r="I18" t="s">
        <v>124</v>
      </c>
      <c r="J18">
        <f t="shared" si="0"/>
        <v>0.50005191199999999</v>
      </c>
      <c r="K18">
        <f t="shared" si="1"/>
        <v>4.6420000000000108E-5</v>
      </c>
      <c r="L18">
        <f t="shared" si="2"/>
        <v>9.2833245229068169E-6</v>
      </c>
      <c r="M18">
        <v>0.5</v>
      </c>
      <c r="N18">
        <f t="shared" si="3"/>
        <v>103.8239999999746</v>
      </c>
      <c r="O18">
        <f t="shared" si="4"/>
        <v>101.40114999991211</v>
      </c>
    </row>
    <row r="19" spans="1:15" x14ac:dyDescent="0.25">
      <c r="A19" s="9">
        <v>44774.489190891203</v>
      </c>
      <c r="B19" t="s">
        <v>42</v>
      </c>
      <c r="C19">
        <v>1000.15360099999</v>
      </c>
      <c r="D19" s="1">
        <v>5.3851647935382702E-6</v>
      </c>
      <c r="E19">
        <v>0.110883</v>
      </c>
      <c r="F19" s="1">
        <v>3.5510561809128797E-5</v>
      </c>
      <c r="G19">
        <v>1591.5</v>
      </c>
      <c r="H19">
        <v>1.5</v>
      </c>
      <c r="J19">
        <f t="shared" si="0"/>
        <v>1000.1536011649899</v>
      </c>
      <c r="K19">
        <f t="shared" si="1"/>
        <v>0.11085399999999999</v>
      </c>
      <c r="L19">
        <f t="shared" si="2"/>
        <v>1.1084041783333039E-5</v>
      </c>
      <c r="M19">
        <v>1000</v>
      </c>
      <c r="N19">
        <f t="shared" si="3"/>
        <v>153.60116498985832</v>
      </c>
      <c r="O19">
        <f t="shared" si="4"/>
        <v>151.17831498979581</v>
      </c>
    </row>
    <row r="20" spans="1:15" x14ac:dyDescent="0.25">
      <c r="A20" s="9">
        <v>44774.493905555559</v>
      </c>
      <c r="B20" t="s">
        <v>44</v>
      </c>
      <c r="C20">
        <v>10.00036162</v>
      </c>
      <c r="D20" s="1">
        <v>9.7979589442196501E-8</v>
      </c>
      <c r="E20">
        <v>4.8979999999999998E-4</v>
      </c>
      <c r="F20" s="1">
        <v>1.6571059109181901E-6</v>
      </c>
      <c r="G20">
        <v>1591.5</v>
      </c>
      <c r="H20">
        <v>15</v>
      </c>
      <c r="J20">
        <f t="shared" si="0"/>
        <v>10.000361784999999</v>
      </c>
      <c r="K20">
        <f t="shared" si="1"/>
        <v>4.6080000000000009E-4</v>
      </c>
      <c r="L20">
        <f t="shared" si="2"/>
        <v>4.6079764117043018E-6</v>
      </c>
      <c r="M20">
        <v>10</v>
      </c>
      <c r="N20">
        <f t="shared" si="3"/>
        <v>36.178499999817149</v>
      </c>
      <c r="O20">
        <f t="shared" si="4"/>
        <v>33.755649999754645</v>
      </c>
    </row>
    <row r="21" spans="1:15" x14ac:dyDescent="0.25">
      <c r="A21" s="9">
        <v>44774.495739930557</v>
      </c>
      <c r="B21" t="s">
        <v>46</v>
      </c>
      <c r="C21">
        <v>10.000101519999999</v>
      </c>
      <c r="D21" s="1">
        <v>1.46969384350636E-7</v>
      </c>
      <c r="E21">
        <v>4.9001999999999997E-4</v>
      </c>
      <c r="F21" s="1">
        <v>1.4558846108122601E-6</v>
      </c>
      <c r="G21">
        <v>1591.5</v>
      </c>
      <c r="H21">
        <v>15</v>
      </c>
      <c r="I21" t="s">
        <v>125</v>
      </c>
      <c r="J21">
        <f t="shared" si="0"/>
        <v>10.000101684999999</v>
      </c>
      <c r="K21">
        <f t="shared" si="1"/>
        <v>4.6102000000000008E-4</v>
      </c>
      <c r="L21">
        <f t="shared" si="2"/>
        <v>4.6102963099114047E-6</v>
      </c>
      <c r="M21">
        <v>10</v>
      </c>
      <c r="N21">
        <f t="shared" si="3"/>
        <v>10.16849999979641</v>
      </c>
      <c r="O21">
        <f t="shared" si="4"/>
        <v>7.7456499997339092</v>
      </c>
    </row>
    <row r="22" spans="1:15" x14ac:dyDescent="0.25">
      <c r="A22" s="9">
        <v>44774.497915706015</v>
      </c>
      <c r="B22" t="s">
        <v>47</v>
      </c>
      <c r="C22">
        <v>10.00008031</v>
      </c>
      <c r="D22" s="1">
        <v>1.22065555866614E-7</v>
      </c>
      <c r="E22">
        <v>4.8128E-4</v>
      </c>
      <c r="F22" s="1">
        <v>1.1805083650698901E-6</v>
      </c>
      <c r="G22">
        <v>1591.5</v>
      </c>
      <c r="H22">
        <v>15</v>
      </c>
      <c r="J22">
        <f t="shared" si="0"/>
        <v>10.000080474999999</v>
      </c>
      <c r="K22">
        <f t="shared" si="1"/>
        <v>4.5228000000000011E-4</v>
      </c>
      <c r="L22">
        <f t="shared" si="2"/>
        <v>4.5229040770536907E-6</v>
      </c>
      <c r="M22">
        <v>10</v>
      </c>
      <c r="N22">
        <f t="shared" si="3"/>
        <v>8.0474999999413654</v>
      </c>
      <c r="O22">
        <f t="shared" si="4"/>
        <v>5.6246499998788648</v>
      </c>
    </row>
    <row r="23" spans="1:15" x14ac:dyDescent="0.25">
      <c r="A23" s="9">
        <v>44774.499763391206</v>
      </c>
      <c r="B23" t="s">
        <v>48</v>
      </c>
      <c r="C23">
        <v>10.000174380000001</v>
      </c>
      <c r="D23" s="1">
        <v>1.4696938478575301E-7</v>
      </c>
      <c r="E23">
        <v>5.1196E-4</v>
      </c>
      <c r="F23" s="1">
        <v>1.30476051442401E-6</v>
      </c>
      <c r="G23">
        <v>1591.5</v>
      </c>
      <c r="H23">
        <v>15</v>
      </c>
      <c r="J23">
        <f t="shared" si="0"/>
        <v>10.000174545</v>
      </c>
      <c r="K23">
        <f t="shared" si="1"/>
        <v>4.8296000000000011E-4</v>
      </c>
      <c r="L23">
        <f t="shared" si="2"/>
        <v>4.8296657047257368E-6</v>
      </c>
      <c r="M23">
        <v>10</v>
      </c>
      <c r="N23">
        <f t="shared" si="3"/>
        <v>17.454500000013695</v>
      </c>
      <c r="O23">
        <f t="shared" si="4"/>
        <v>15.031649999951195</v>
      </c>
    </row>
    <row r="24" spans="1:15" x14ac:dyDescent="0.25">
      <c r="A24" s="9">
        <v>44774.502733703703</v>
      </c>
      <c r="B24" t="s">
        <v>49</v>
      </c>
      <c r="C24">
        <v>9.9999699129999993</v>
      </c>
      <c r="D24" s="1">
        <v>7.52396173462491E-8</v>
      </c>
      <c r="E24">
        <v>4.8134999999999899E-4</v>
      </c>
      <c r="F24" s="1">
        <v>1.2411688039908099E-6</v>
      </c>
      <c r="G24">
        <v>1591.5</v>
      </c>
      <c r="H24">
        <v>15</v>
      </c>
      <c r="J24">
        <f t="shared" si="0"/>
        <v>9.9999700779999987</v>
      </c>
      <c r="K24">
        <f t="shared" si="1"/>
        <v>4.523499999999991E-4</v>
      </c>
      <c r="L24">
        <f t="shared" si="2"/>
        <v>4.5236540325433662E-6</v>
      </c>
      <c r="M24">
        <v>10</v>
      </c>
      <c r="N24">
        <f t="shared" si="3"/>
        <v>-2.9922000001070259</v>
      </c>
      <c r="O24">
        <f t="shared" si="4"/>
        <v>-5.4150500001695265</v>
      </c>
    </row>
    <row r="25" spans="1:15" x14ac:dyDescent="0.25">
      <c r="A25" s="9">
        <v>44774.503509803239</v>
      </c>
      <c r="B25" t="s">
        <v>50</v>
      </c>
      <c r="C25">
        <v>10.0001808499999</v>
      </c>
      <c r="D25" s="1">
        <v>8.0622577323499003E-8</v>
      </c>
      <c r="E25">
        <v>5.1109999999999903E-4</v>
      </c>
      <c r="F25" s="1">
        <v>2.0847062143141501E-6</v>
      </c>
      <c r="G25">
        <v>1591.5</v>
      </c>
      <c r="H25">
        <v>15</v>
      </c>
      <c r="J25">
        <f t="shared" si="0"/>
        <v>10.0001810149999</v>
      </c>
      <c r="K25">
        <f t="shared" si="1"/>
        <v>4.8209999999999914E-4</v>
      </c>
      <c r="L25">
        <f t="shared" si="2"/>
        <v>4.821062468553332E-6</v>
      </c>
      <c r="M25">
        <v>10</v>
      </c>
      <c r="N25">
        <f t="shared" si="3"/>
        <v>18.101499990041958</v>
      </c>
      <c r="O25">
        <f t="shared" si="4"/>
        <v>15.678649989979458</v>
      </c>
    </row>
    <row r="26" spans="1:15" x14ac:dyDescent="0.25">
      <c r="A26" s="9">
        <v>44774.505294756942</v>
      </c>
      <c r="B26" t="s">
        <v>51</v>
      </c>
      <c r="C26">
        <v>10.0003037</v>
      </c>
      <c r="D26" s="1">
        <v>8.9442718953611502E-8</v>
      </c>
      <c r="E26">
        <v>4.9993999999999896E-4</v>
      </c>
      <c r="F26" s="1">
        <v>1.27137720602502E-6</v>
      </c>
      <c r="G26">
        <v>1591.5</v>
      </c>
      <c r="H26">
        <v>15</v>
      </c>
      <c r="J26">
        <f t="shared" si="0"/>
        <v>10.000303864999999</v>
      </c>
      <c r="K26">
        <f t="shared" si="1"/>
        <v>4.7093999999999907E-4</v>
      </c>
      <c r="L26">
        <f t="shared" si="2"/>
        <v>4.709403168515283E-6</v>
      </c>
      <c r="M26">
        <v>10</v>
      </c>
      <c r="N26">
        <f t="shared" si="3"/>
        <v>30.386499999979222</v>
      </c>
      <c r="O26">
        <f t="shared" si="4"/>
        <v>27.963649999916722</v>
      </c>
    </row>
    <row r="27" spans="1:15" x14ac:dyDescent="0.25">
      <c r="A27" s="9">
        <v>44774.506247581019</v>
      </c>
      <c r="B27" t="s">
        <v>53</v>
      </c>
      <c r="C27">
        <v>10.000214789999999</v>
      </c>
      <c r="D27" s="1">
        <v>1.2206555599758599E-7</v>
      </c>
      <c r="E27">
        <v>5.0034999999999902E-4</v>
      </c>
      <c r="F27" s="1">
        <v>1.0556988206870101E-6</v>
      </c>
      <c r="G27">
        <v>1591.5</v>
      </c>
      <c r="H27">
        <v>15</v>
      </c>
      <c r="J27">
        <f t="shared" si="0"/>
        <v>10.000214954999999</v>
      </c>
      <c r="K27">
        <f t="shared" si="1"/>
        <v>4.7134999999999912E-4</v>
      </c>
      <c r="L27">
        <f t="shared" si="2"/>
        <v>4.7135450781296775E-6</v>
      </c>
      <c r="M27">
        <v>10</v>
      </c>
      <c r="N27">
        <f t="shared" si="3"/>
        <v>21.495499999968359</v>
      </c>
      <c r="O27">
        <f t="shared" si="4"/>
        <v>19.07264999990586</v>
      </c>
    </row>
    <row r="28" spans="1:15" x14ac:dyDescent="0.25">
      <c r="A28" s="9">
        <v>44774.507108715276</v>
      </c>
      <c r="B28" t="s">
        <v>54</v>
      </c>
      <c r="C28">
        <v>10.00033883</v>
      </c>
      <c r="D28" s="1">
        <v>1.48660687453935E-7</v>
      </c>
      <c r="E28">
        <v>5.0668000000000002E-4</v>
      </c>
      <c r="F28" s="1">
        <v>1.37098504732909E-6</v>
      </c>
      <c r="G28">
        <v>1591.5</v>
      </c>
      <c r="H28">
        <v>15</v>
      </c>
      <c r="J28">
        <f t="shared" si="0"/>
        <v>10.000338995</v>
      </c>
      <c r="K28">
        <f t="shared" si="1"/>
        <v>4.7768000000000013E-4</v>
      </c>
      <c r="L28">
        <f t="shared" si="2"/>
        <v>4.7767864335216105E-6</v>
      </c>
      <c r="M28">
        <v>10</v>
      </c>
      <c r="N28">
        <f t="shared" si="3"/>
        <v>33.899499999989757</v>
      </c>
      <c r="O28">
        <f t="shared" si="4"/>
        <v>31.476649999927258</v>
      </c>
    </row>
    <row r="29" spans="1:15" x14ac:dyDescent="0.25">
      <c r="A29" s="9">
        <v>44774.508346365743</v>
      </c>
      <c r="B29" t="s">
        <v>55</v>
      </c>
      <c r="C29">
        <v>10.00040166</v>
      </c>
      <c r="D29" s="1">
        <v>1.11355287186023E-7</v>
      </c>
      <c r="E29">
        <v>4.9536999999999997E-4</v>
      </c>
      <c r="F29" s="1">
        <v>1.0890821823903101E-6</v>
      </c>
      <c r="G29">
        <v>1591.5</v>
      </c>
      <c r="H29">
        <v>15</v>
      </c>
      <c r="J29">
        <f t="shared" si="0"/>
        <v>10.000401824999999</v>
      </c>
      <c r="K29">
        <f t="shared" si="1"/>
        <v>4.6637000000000008E-4</v>
      </c>
      <c r="L29">
        <f t="shared" si="2"/>
        <v>4.6636574539677831E-6</v>
      </c>
      <c r="M29">
        <v>10</v>
      </c>
      <c r="N29">
        <f t="shared" si="3"/>
        <v>40.182499999819044</v>
      </c>
      <c r="O29">
        <f t="shared" si="4"/>
        <v>37.75964999975654</v>
      </c>
    </row>
    <row r="30" spans="1:15" x14ac:dyDescent="0.25">
      <c r="A30" s="9">
        <v>44774.509252037038</v>
      </c>
      <c r="B30" t="s">
        <v>56</v>
      </c>
      <c r="C30">
        <v>10.000209969999901</v>
      </c>
      <c r="D30" s="1">
        <v>1.00498756289771E-7</v>
      </c>
      <c r="E30">
        <v>4.9131999999999995E-4</v>
      </c>
      <c r="F30" s="1">
        <v>1.2592060990957699E-6</v>
      </c>
      <c r="G30">
        <v>1591.5</v>
      </c>
      <c r="H30">
        <v>15</v>
      </c>
      <c r="I30" t="s">
        <v>126</v>
      </c>
      <c r="J30">
        <f t="shared" si="0"/>
        <v>10.0002101349999</v>
      </c>
      <c r="K30">
        <f t="shared" si="1"/>
        <v>4.6232000000000006E-4</v>
      </c>
      <c r="L30">
        <f t="shared" si="2"/>
        <v>4.623246442891601E-6</v>
      </c>
      <c r="M30">
        <v>10</v>
      </c>
      <c r="N30">
        <f t="shared" si="3"/>
        <v>21.013499990063522</v>
      </c>
      <c r="O30">
        <f t="shared" si="4"/>
        <v>18.590649990001022</v>
      </c>
    </row>
    <row r="33" spans="3:8" x14ac:dyDescent="0.25">
      <c r="C33">
        <v>9.9999731220000001</v>
      </c>
      <c r="D33" s="1">
        <v>1.0390380166055E-7</v>
      </c>
      <c r="E33">
        <v>-2.0693E-4</v>
      </c>
      <c r="F33" s="1">
        <v>7.6295478240849998E-7</v>
      </c>
      <c r="G33">
        <v>1591.5</v>
      </c>
      <c r="H33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3A45-5CC4-4ECF-85AA-C02695A303BE}">
  <dimension ref="A1:P30"/>
  <sheetViews>
    <sheetView workbookViewId="0">
      <selection activeCell="A2" sqref="A2"/>
    </sheetView>
  </sheetViews>
  <sheetFormatPr defaultRowHeight="15" x14ac:dyDescent="0.25"/>
  <cols>
    <col min="1" max="1" width="69.140625" bestFit="1" customWidth="1"/>
    <col min="2" max="2" width="9.28515625" bestFit="1" customWidth="1"/>
    <col min="3" max="3" width="15.7109375" bestFit="1" customWidth="1"/>
    <col min="4" max="4" width="12" bestFit="1" customWidth="1"/>
    <col min="5" max="5" width="16.5703125" bestFit="1" customWidth="1"/>
    <col min="6" max="6" width="12" bestFit="1" customWidth="1"/>
    <col min="7" max="7" width="14.42578125" bestFit="1" customWidth="1"/>
    <col min="8" max="8" width="11" bestFit="1" customWidth="1"/>
    <col min="9" max="9" width="107.28515625" bestFit="1" customWidth="1"/>
    <col min="10" max="10" width="15.7109375" bestFit="1" customWidth="1"/>
    <col min="11" max="11" width="102.7109375" bestFit="1" customWidth="1"/>
    <col min="12" max="12" width="12.7109375" bestFit="1" customWidth="1"/>
    <col min="13" max="13" width="9.85546875" bestFit="1" customWidth="1"/>
    <col min="14" max="14" width="11" bestFit="1" customWidth="1"/>
    <col min="15" max="15" width="14" bestFit="1" customWidth="1"/>
    <col min="16" max="16" width="8.7109375" bestFit="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-2.4228900000658102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2">
        <v>44827.022627314815</v>
      </c>
      <c r="B3" t="s">
        <v>17</v>
      </c>
      <c r="C3" s="1">
        <v>-7.9000000000000006E-8</v>
      </c>
      <c r="D3" s="1">
        <v>6.2699999999999999E-8</v>
      </c>
      <c r="E3" s="1">
        <v>2.76E-5</v>
      </c>
      <c r="F3" s="1">
        <v>7.3399999999999998E-7</v>
      </c>
      <c r="G3">
        <v>1591.5</v>
      </c>
      <c r="H3">
        <v>15</v>
      </c>
      <c r="I3" t="s">
        <v>127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2">
        <v>44827.025555555556</v>
      </c>
      <c r="B4" t="s">
        <v>21</v>
      </c>
      <c r="C4">
        <v>9.9999756699999995</v>
      </c>
      <c r="D4" s="1">
        <v>7.8199999999999999E-8</v>
      </c>
      <c r="E4">
        <v>-1.6053000000000001E-4</v>
      </c>
      <c r="F4" s="1">
        <v>1.1799999999999999E-6</v>
      </c>
      <c r="G4">
        <v>1591.5</v>
      </c>
      <c r="H4">
        <v>15</v>
      </c>
      <c r="J4">
        <f t="shared" ref="J4:J30" si="0">C4-C$3</f>
        <v>9.999975748999999</v>
      </c>
      <c r="K4">
        <f>E4-E$3</f>
        <v>-1.8813E-4</v>
      </c>
      <c r="L4">
        <f>K4*0.000000001/(2*PI()*J4*G4*0.000000000001)</f>
        <v>-1.8813629944053217E-6</v>
      </c>
      <c r="M4">
        <v>10</v>
      </c>
      <c r="N4">
        <f>(J4/M4-1)*1000000</f>
        <v>-2.4251000001473955</v>
      </c>
      <c r="O4">
        <f>N4+P$1</f>
        <v>-4.8479900002132057</v>
      </c>
    </row>
    <row r="5" spans="1:16" x14ac:dyDescent="0.25">
      <c r="A5" s="2">
        <v>44827.028020833335</v>
      </c>
      <c r="B5" t="s">
        <v>23</v>
      </c>
      <c r="C5">
        <v>9.9999781890000001</v>
      </c>
      <c r="D5" s="1">
        <v>6.7900000000000006E-8</v>
      </c>
      <c r="E5">
        <v>-1.5169000000000001E-4</v>
      </c>
      <c r="F5" s="1">
        <v>9.0500000000000002E-7</v>
      </c>
      <c r="G5">
        <v>1591.5</v>
      </c>
      <c r="H5">
        <v>15</v>
      </c>
      <c r="J5">
        <f t="shared" si="0"/>
        <v>9.9999782679999996</v>
      </c>
      <c r="K5">
        <f t="shared" ref="K5:K30" si="1">E5-E$3</f>
        <v>-1.7929E-4</v>
      </c>
      <c r="L5">
        <f t="shared" ref="L5:L30" si="2">K5*0.000000001/(2*PI()*J5*G5*0.000000000001)</f>
        <v>-1.7929595827271807E-6</v>
      </c>
      <c r="M5">
        <v>10</v>
      </c>
      <c r="N5">
        <f t="shared" ref="N5:N30" si="3">(J5/M5-1)*1000000</f>
        <v>-2.1732000000662666</v>
      </c>
      <c r="O5">
        <f t="shared" ref="O5:O30" si="4">N5+P$1</f>
        <v>-4.5960900001320768</v>
      </c>
    </row>
    <row r="6" spans="1:16" x14ac:dyDescent="0.25">
      <c r="A6" s="2">
        <v>44827.028854166667</v>
      </c>
      <c r="B6" t="s">
        <v>24</v>
      </c>
      <c r="C6">
        <v>99.999822210000005</v>
      </c>
      <c r="D6" s="1">
        <v>5.39E-8</v>
      </c>
      <c r="E6">
        <v>1.7413000000000001E-3</v>
      </c>
      <c r="F6" s="1">
        <v>6.4000000000000001E-7</v>
      </c>
      <c r="G6">
        <v>1591.5</v>
      </c>
      <c r="H6">
        <v>15</v>
      </c>
      <c r="J6">
        <f t="shared" si="0"/>
        <v>99.999822289000008</v>
      </c>
      <c r="K6">
        <f t="shared" si="1"/>
        <v>1.7137000000000001E-3</v>
      </c>
      <c r="L6">
        <f t="shared" si="2"/>
        <v>1.7137562719021236E-6</v>
      </c>
      <c r="M6">
        <v>100</v>
      </c>
      <c r="N6">
        <f t="shared" si="3"/>
        <v>-1.7771099999341899</v>
      </c>
      <c r="O6">
        <f t="shared" si="4"/>
        <v>-4.2</v>
      </c>
    </row>
    <row r="7" spans="1:16" x14ac:dyDescent="0.25">
      <c r="A7" s="2">
        <v>44827.030590277776</v>
      </c>
      <c r="B7" t="s">
        <v>25</v>
      </c>
      <c r="C7">
        <v>99.999818379999994</v>
      </c>
      <c r="D7" s="1">
        <v>7.4799999999999995E-8</v>
      </c>
      <c r="E7">
        <v>2.1159999999999998E-3</v>
      </c>
      <c r="F7" s="1">
        <v>6.3200000000000005E-7</v>
      </c>
      <c r="G7">
        <v>1591.5</v>
      </c>
      <c r="H7">
        <v>15</v>
      </c>
      <c r="J7">
        <f t="shared" si="0"/>
        <v>99.999818458999997</v>
      </c>
      <c r="K7">
        <f t="shared" si="1"/>
        <v>2.0883999999999998E-3</v>
      </c>
      <c r="L7">
        <f t="shared" si="2"/>
        <v>2.0884686557254324E-6</v>
      </c>
      <c r="M7">
        <v>100</v>
      </c>
      <c r="N7">
        <f t="shared" si="3"/>
        <v>-1.8154099999945217</v>
      </c>
      <c r="O7">
        <f t="shared" si="4"/>
        <v>-4.2383000000603319</v>
      </c>
    </row>
    <row r="8" spans="1:16" x14ac:dyDescent="0.25">
      <c r="A8" s="2">
        <v>44827.032037037039</v>
      </c>
      <c r="B8" t="s">
        <v>26</v>
      </c>
      <c r="C8">
        <v>9.9999754799999998</v>
      </c>
      <c r="D8" s="1">
        <v>8.3999999999999998E-8</v>
      </c>
      <c r="E8">
        <v>-2.7266999999999998E-4</v>
      </c>
      <c r="F8" s="1">
        <v>1.0699999999999999E-6</v>
      </c>
      <c r="G8">
        <v>1591.5</v>
      </c>
      <c r="H8">
        <v>15</v>
      </c>
      <c r="J8">
        <f t="shared" si="0"/>
        <v>9.9999755589999992</v>
      </c>
      <c r="K8">
        <f t="shared" si="1"/>
        <v>-3.0027E-4</v>
      </c>
      <c r="L8">
        <f t="shared" si="2"/>
        <v>-3.002800600986194E-6</v>
      </c>
      <c r="M8">
        <v>10</v>
      </c>
      <c r="N8">
        <f t="shared" si="3"/>
        <v>-2.444100000054128</v>
      </c>
      <c r="O8">
        <f t="shared" si="4"/>
        <v>-4.8669900001199382</v>
      </c>
    </row>
    <row r="9" spans="1:16" x14ac:dyDescent="0.25">
      <c r="A9" s="2">
        <v>44827.033437500002</v>
      </c>
      <c r="B9" t="s">
        <v>28</v>
      </c>
      <c r="C9">
        <v>9.9999731829999998</v>
      </c>
      <c r="D9" s="1">
        <v>5.9800000000000006E-8</v>
      </c>
      <c r="E9">
        <v>-2.3456E-4</v>
      </c>
      <c r="F9" s="1">
        <v>8.8700000000000004E-7</v>
      </c>
      <c r="G9">
        <v>1591.5</v>
      </c>
      <c r="H9">
        <v>15</v>
      </c>
      <c r="J9">
        <f t="shared" si="0"/>
        <v>9.9999732619999993</v>
      </c>
      <c r="K9">
        <f t="shared" si="1"/>
        <v>-2.6216E-4</v>
      </c>
      <c r="L9">
        <f t="shared" si="2"/>
        <v>-2.6216884350022551E-6</v>
      </c>
      <c r="M9">
        <v>10</v>
      </c>
      <c r="N9">
        <f t="shared" si="3"/>
        <v>-2.6738000000747775</v>
      </c>
      <c r="O9">
        <f t="shared" si="4"/>
        <v>-5.0966900001405877</v>
      </c>
    </row>
    <row r="10" spans="1:16" x14ac:dyDescent="0.25">
      <c r="A10" s="2">
        <v>44827.03466435185</v>
      </c>
      <c r="B10" t="s">
        <v>29</v>
      </c>
      <c r="C10">
        <v>99.999783289999996</v>
      </c>
      <c r="D10" s="1">
        <v>7.0000000000000005E-8</v>
      </c>
      <c r="E10">
        <v>8.0780000000000001E-4</v>
      </c>
      <c r="F10" s="1">
        <v>1.2500000000000001E-6</v>
      </c>
      <c r="G10">
        <v>1591.5</v>
      </c>
      <c r="H10">
        <v>15</v>
      </c>
      <c r="I10" t="s">
        <v>128</v>
      </c>
      <c r="J10">
        <f t="shared" si="0"/>
        <v>99.999783368999999</v>
      </c>
      <c r="K10">
        <f t="shared" si="1"/>
        <v>7.8019999999999999E-4</v>
      </c>
      <c r="L10">
        <f t="shared" si="2"/>
        <v>7.802259226981601E-7</v>
      </c>
      <c r="M10">
        <v>100</v>
      </c>
      <c r="N10">
        <f t="shared" si="3"/>
        <v>-2.1663100000512969</v>
      </c>
      <c r="O10">
        <f t="shared" si="4"/>
        <v>-4.5892000001171072</v>
      </c>
    </row>
    <row r="11" spans="1:16" x14ac:dyDescent="0.25">
      <c r="A11" s="2">
        <v>44827.036608796298</v>
      </c>
      <c r="B11" t="s">
        <v>30</v>
      </c>
      <c r="C11">
        <v>99.999860699999999</v>
      </c>
      <c r="D11" s="1">
        <v>1.3400000000000001E-7</v>
      </c>
      <c r="E11">
        <v>8.966E-4</v>
      </c>
      <c r="F11" s="1">
        <v>7.9999999999999996E-7</v>
      </c>
      <c r="G11">
        <v>1591.5</v>
      </c>
      <c r="H11">
        <v>15</v>
      </c>
      <c r="J11">
        <f t="shared" si="0"/>
        <v>99.999860779000002</v>
      </c>
      <c r="K11">
        <f t="shared" si="1"/>
        <v>8.6899999999999998E-4</v>
      </c>
      <c r="L11">
        <f t="shared" si="2"/>
        <v>8.6902820042493205E-7</v>
      </c>
      <c r="M11">
        <v>100</v>
      </c>
      <c r="N11">
        <f t="shared" si="3"/>
        <v>-1.392209999950822</v>
      </c>
      <c r="O11">
        <f t="shared" si="4"/>
        <v>-3.8151000000166322</v>
      </c>
    </row>
    <row r="12" spans="1:16" x14ac:dyDescent="0.25">
      <c r="A12" s="2">
        <v>44827.03802083333</v>
      </c>
      <c r="B12" t="s">
        <v>31</v>
      </c>
      <c r="C12">
        <v>10.0001912</v>
      </c>
      <c r="D12" s="1">
        <v>1.2599999999999999E-7</v>
      </c>
      <c r="E12">
        <v>9.3298999999999997E-4</v>
      </c>
      <c r="F12" s="1">
        <v>1.24E-6</v>
      </c>
      <c r="G12">
        <v>1591.5</v>
      </c>
      <c r="H12">
        <v>15</v>
      </c>
      <c r="J12">
        <f t="shared" si="0"/>
        <v>10.000191278999999</v>
      </c>
      <c r="K12">
        <f t="shared" si="1"/>
        <v>9.0538999999999995E-4</v>
      </c>
      <c r="L12">
        <f t="shared" si="2"/>
        <v>9.0540080238808338E-6</v>
      </c>
      <c r="M12">
        <v>10</v>
      </c>
      <c r="N12">
        <f t="shared" si="3"/>
        <v>19.127899999915599</v>
      </c>
      <c r="O12">
        <f t="shared" si="4"/>
        <v>16.705009999849789</v>
      </c>
    </row>
    <row r="13" spans="1:16" x14ac:dyDescent="0.25">
      <c r="A13" s="2">
        <v>44827.039606481485</v>
      </c>
      <c r="B13" t="s">
        <v>33</v>
      </c>
      <c r="C13">
        <v>100.00406700000001</v>
      </c>
      <c r="D13" s="1">
        <v>1.42E-14</v>
      </c>
      <c r="E13">
        <v>9.0159000000000003E-3</v>
      </c>
      <c r="F13" s="1">
        <v>6.5799999999999997E-6</v>
      </c>
      <c r="G13">
        <v>1591.5</v>
      </c>
      <c r="H13">
        <v>15</v>
      </c>
      <c r="I13" t="s">
        <v>129</v>
      </c>
      <c r="J13">
        <f t="shared" si="0"/>
        <v>100.00406707900001</v>
      </c>
      <c r="K13">
        <f t="shared" si="1"/>
        <v>8.9883000000000011E-3</v>
      </c>
      <c r="L13">
        <f t="shared" si="2"/>
        <v>8.988213612800738E-6</v>
      </c>
      <c r="M13">
        <v>100</v>
      </c>
      <c r="N13">
        <f t="shared" si="3"/>
        <v>40.670790000030266</v>
      </c>
      <c r="O13">
        <f t="shared" si="4"/>
        <v>38.247899999964453</v>
      </c>
    </row>
    <row r="14" spans="1:16" x14ac:dyDescent="0.25">
      <c r="A14" s="2">
        <v>44827.000706018516</v>
      </c>
      <c r="B14" t="s">
        <v>34</v>
      </c>
      <c r="C14">
        <v>1000.0326240000001</v>
      </c>
      <c r="D14" s="1">
        <v>4.8999999999999997E-6</v>
      </c>
      <c r="E14">
        <v>0.203406</v>
      </c>
      <c r="F14" s="1">
        <v>2.3300000000000001E-5</v>
      </c>
      <c r="G14">
        <v>1591.5</v>
      </c>
      <c r="H14">
        <v>1.5</v>
      </c>
      <c r="J14">
        <f t="shared" si="0"/>
        <v>1000.032624079</v>
      </c>
      <c r="K14">
        <f t="shared" si="1"/>
        <v>0.20337840000000001</v>
      </c>
      <c r="L14">
        <f t="shared" si="2"/>
        <v>2.0337808177362793E-5</v>
      </c>
      <c r="M14">
        <v>1000</v>
      </c>
      <c r="N14">
        <f t="shared" si="3"/>
        <v>32.624079000065365</v>
      </c>
      <c r="O14">
        <f t="shared" si="4"/>
        <v>30.201188999999555</v>
      </c>
    </row>
    <row r="15" spans="1:16" x14ac:dyDescent="0.25">
      <c r="A15" s="2">
        <v>44827.003229166665</v>
      </c>
      <c r="B15" t="s">
        <v>35</v>
      </c>
      <c r="C15">
        <v>1000.00707</v>
      </c>
      <c r="D15">
        <v>2.54362E-4</v>
      </c>
      <c r="E15">
        <v>0.21363599999999999</v>
      </c>
      <c r="F15">
        <v>2.17679E-4</v>
      </c>
      <c r="G15">
        <v>1591.5</v>
      </c>
      <c r="H15">
        <v>1.5</v>
      </c>
      <c r="J15">
        <f t="shared" si="0"/>
        <v>1000.007070079</v>
      </c>
      <c r="K15">
        <f t="shared" si="1"/>
        <v>0.2136084</v>
      </c>
      <c r="L15">
        <f t="shared" si="2"/>
        <v>2.1361352426865795E-5</v>
      </c>
      <c r="M15">
        <v>1000</v>
      </c>
      <c r="N15">
        <f t="shared" si="3"/>
        <v>7.0700790000266522</v>
      </c>
      <c r="O15">
        <f t="shared" si="4"/>
        <v>4.647188999960842</v>
      </c>
    </row>
    <row r="16" spans="1:16" x14ac:dyDescent="0.25">
      <c r="A16" s="2">
        <v>44827.025277777779</v>
      </c>
      <c r="B16" t="s">
        <v>36</v>
      </c>
      <c r="C16">
        <v>4.9999551870000003</v>
      </c>
      <c r="D16" s="1">
        <v>8.5300000000000003E-8</v>
      </c>
      <c r="E16">
        <v>2.6299E-4</v>
      </c>
      <c r="F16" s="1">
        <v>6.1900000000000002E-7</v>
      </c>
      <c r="G16">
        <v>1591.5</v>
      </c>
      <c r="H16">
        <v>15</v>
      </c>
      <c r="I16" t="s">
        <v>118</v>
      </c>
      <c r="J16">
        <f t="shared" si="0"/>
        <v>4.9999552660000006</v>
      </c>
      <c r="K16">
        <f t="shared" si="1"/>
        <v>2.3539000000000001E-4</v>
      </c>
      <c r="L16">
        <f t="shared" si="2"/>
        <v>4.7079883425298512E-6</v>
      </c>
      <c r="M16">
        <v>5</v>
      </c>
      <c r="N16">
        <f t="shared" si="3"/>
        <v>-8.9467999998538161</v>
      </c>
      <c r="O16">
        <f t="shared" si="4"/>
        <v>-11.369689999919625</v>
      </c>
    </row>
    <row r="17" spans="1:15" x14ac:dyDescent="0.25">
      <c r="A17" s="2">
        <v>44827.026932870373</v>
      </c>
      <c r="B17" t="s">
        <v>38</v>
      </c>
      <c r="C17">
        <v>5.0001032729999997</v>
      </c>
      <c r="D17" s="1">
        <v>7.3799999999999999E-8</v>
      </c>
      <c r="E17">
        <v>-1.1663999999999999E-4</v>
      </c>
      <c r="F17" s="1">
        <v>2.4600000000000002E-6</v>
      </c>
      <c r="G17">
        <v>1591.5</v>
      </c>
      <c r="H17">
        <v>15</v>
      </c>
      <c r="I17" t="s">
        <v>130</v>
      </c>
      <c r="J17">
        <f t="shared" si="0"/>
        <v>5.000103352</v>
      </c>
      <c r="K17">
        <f t="shared" si="1"/>
        <v>-1.4423999999999999E-4</v>
      </c>
      <c r="L17">
        <f t="shared" si="2"/>
        <v>-2.8848299693571905E-6</v>
      </c>
      <c r="M17">
        <v>5</v>
      </c>
      <c r="N17">
        <f t="shared" si="3"/>
        <v>20.670400000089018</v>
      </c>
      <c r="O17">
        <f t="shared" si="4"/>
        <v>18.247510000023208</v>
      </c>
    </row>
    <row r="18" spans="1:15" x14ac:dyDescent="0.25">
      <c r="A18" s="2">
        <v>44827.028958333336</v>
      </c>
      <c r="B18" t="s">
        <v>40</v>
      </c>
      <c r="C18">
        <v>0.50005155700000004</v>
      </c>
      <c r="D18" s="1">
        <v>9.4500000000000006E-8</v>
      </c>
      <c r="E18" s="1">
        <v>7.7299999999999995E-5</v>
      </c>
      <c r="F18" s="1">
        <v>8.0599999999999999E-7</v>
      </c>
      <c r="G18">
        <v>1591.5</v>
      </c>
      <c r="H18">
        <v>15</v>
      </c>
      <c r="I18" t="s">
        <v>131</v>
      </c>
      <c r="J18">
        <f t="shared" si="0"/>
        <v>0.50005163600000002</v>
      </c>
      <c r="K18">
        <f t="shared" si="1"/>
        <v>4.9699999999999995E-5</v>
      </c>
      <c r="L18">
        <f t="shared" si="2"/>
        <v>9.9392822801509488E-6</v>
      </c>
      <c r="M18">
        <v>0.5</v>
      </c>
      <c r="N18">
        <f t="shared" si="3"/>
        <v>103.27200000004311</v>
      </c>
      <c r="O18">
        <f t="shared" si="4"/>
        <v>100.8491099999773</v>
      </c>
    </row>
    <row r="19" spans="1:15" x14ac:dyDescent="0.25">
      <c r="A19" s="2">
        <v>44827.032395833332</v>
      </c>
      <c r="B19" t="s">
        <v>42</v>
      </c>
      <c r="C19">
        <v>1000.151733</v>
      </c>
      <c r="D19" s="1">
        <v>4.5800000000000002E-6</v>
      </c>
      <c r="E19">
        <v>0.10932500000000001</v>
      </c>
      <c r="F19" s="1">
        <v>4.88E-5</v>
      </c>
      <c r="G19">
        <v>1591.5</v>
      </c>
      <c r="H19">
        <v>1.5</v>
      </c>
      <c r="J19">
        <f t="shared" si="0"/>
        <v>1000.151733079</v>
      </c>
      <c r="K19">
        <f t="shared" si="1"/>
        <v>0.1092974</v>
      </c>
      <c r="L19">
        <f t="shared" si="2"/>
        <v>1.0928421267361406E-5</v>
      </c>
      <c r="M19">
        <v>1000</v>
      </c>
      <c r="N19">
        <f t="shared" si="3"/>
        <v>151.73307899996047</v>
      </c>
      <c r="O19">
        <f t="shared" si="4"/>
        <v>149.31018899989465</v>
      </c>
    </row>
    <row r="20" spans="1:15" x14ac:dyDescent="0.25">
      <c r="A20" s="2">
        <v>44827.034143518518</v>
      </c>
      <c r="B20" t="s">
        <v>44</v>
      </c>
      <c r="C20">
        <v>10.000355000000001</v>
      </c>
      <c r="D20" s="1">
        <v>1.4100000000000001E-7</v>
      </c>
      <c r="E20">
        <v>4.8517999999999999E-4</v>
      </c>
      <c r="F20" s="1">
        <v>1.53E-6</v>
      </c>
      <c r="G20">
        <v>1591.5</v>
      </c>
      <c r="H20">
        <v>15</v>
      </c>
      <c r="I20" t="s">
        <v>132</v>
      </c>
      <c r="J20">
        <f t="shared" si="0"/>
        <v>10.000355079</v>
      </c>
      <c r="K20">
        <f t="shared" si="1"/>
        <v>4.5757999999999997E-4</v>
      </c>
      <c r="L20">
        <f t="shared" si="2"/>
        <v>4.5757796449425263E-6</v>
      </c>
      <c r="M20">
        <v>10</v>
      </c>
      <c r="N20">
        <f t="shared" si="3"/>
        <v>35.507900000064652</v>
      </c>
      <c r="O20">
        <f t="shared" si="4"/>
        <v>33.085009999998839</v>
      </c>
    </row>
    <row r="21" spans="1:15" x14ac:dyDescent="0.25">
      <c r="A21" s="2">
        <v>44827.036539351851</v>
      </c>
      <c r="B21" t="s">
        <v>46</v>
      </c>
      <c r="C21">
        <v>10.000096559999999</v>
      </c>
      <c r="D21" s="1">
        <v>1.36E-7</v>
      </c>
      <c r="E21">
        <v>4.863E-4</v>
      </c>
      <c r="F21" s="1">
        <v>1.2699999999999999E-6</v>
      </c>
      <c r="G21">
        <v>1591.5</v>
      </c>
      <c r="H21">
        <v>15</v>
      </c>
      <c r="J21">
        <f t="shared" si="0"/>
        <v>10.000096638999999</v>
      </c>
      <c r="K21">
        <f t="shared" si="1"/>
        <v>4.5869999999999998E-4</v>
      </c>
      <c r="L21">
        <f t="shared" si="2"/>
        <v>4.5870981398753304E-6</v>
      </c>
      <c r="M21">
        <v>10</v>
      </c>
      <c r="N21">
        <f t="shared" si="3"/>
        <v>9.6638999997900044</v>
      </c>
      <c r="O21">
        <f t="shared" si="4"/>
        <v>7.2410099997241941</v>
      </c>
    </row>
    <row r="22" spans="1:15" x14ac:dyDescent="0.25">
      <c r="A22" s="2">
        <v>44827.038761574076</v>
      </c>
      <c r="B22" t="s">
        <v>47</v>
      </c>
      <c r="C22">
        <v>10.000074059999999</v>
      </c>
      <c r="D22" s="1">
        <v>6.6300000000000005E-8</v>
      </c>
      <c r="E22">
        <v>4.7271999999999999E-4</v>
      </c>
      <c r="F22" s="1">
        <v>1.3599999999999999E-6</v>
      </c>
      <c r="G22">
        <v>1591.5</v>
      </c>
      <c r="H22">
        <v>15</v>
      </c>
      <c r="J22">
        <f t="shared" si="0"/>
        <v>10.000074138999999</v>
      </c>
      <c r="K22">
        <f t="shared" si="1"/>
        <v>4.4511999999999997E-4</v>
      </c>
      <c r="L22">
        <f t="shared" si="2"/>
        <v>4.4513052497444436E-6</v>
      </c>
      <c r="M22">
        <v>10</v>
      </c>
      <c r="N22">
        <f t="shared" si="3"/>
        <v>7.4138999999195931</v>
      </c>
      <c r="O22">
        <f t="shared" si="4"/>
        <v>4.9910099998537829</v>
      </c>
    </row>
    <row r="23" spans="1:15" x14ac:dyDescent="0.25">
      <c r="A23" s="2">
        <v>44827.041550925926</v>
      </c>
      <c r="B23" t="s">
        <v>48</v>
      </c>
      <c r="C23">
        <v>10.00016982</v>
      </c>
      <c r="D23" s="1">
        <v>1.08E-7</v>
      </c>
      <c r="E23">
        <v>5.0593000000000003E-4</v>
      </c>
      <c r="F23" s="1">
        <v>1.1799999999999999E-6</v>
      </c>
      <c r="G23">
        <v>1591.5</v>
      </c>
      <c r="H23">
        <v>15</v>
      </c>
      <c r="J23">
        <f t="shared" si="0"/>
        <v>10.000169898999999</v>
      </c>
      <c r="K23">
        <f t="shared" si="1"/>
        <v>4.7833000000000001E-4</v>
      </c>
      <c r="L23">
        <f t="shared" si="2"/>
        <v>4.7833672971468968E-6</v>
      </c>
      <c r="M23">
        <v>10</v>
      </c>
      <c r="N23">
        <f t="shared" si="3"/>
        <v>16.989899999986235</v>
      </c>
      <c r="O23">
        <f t="shared" si="4"/>
        <v>14.567009999920426</v>
      </c>
    </row>
    <row r="24" spans="1:15" x14ac:dyDescent="0.25">
      <c r="A24" s="2">
        <v>44827.00136574074</v>
      </c>
      <c r="B24" t="s">
        <v>49</v>
      </c>
      <c r="C24">
        <v>9.9999631850000004</v>
      </c>
      <c r="D24" s="1">
        <v>1.2599999999999999E-7</v>
      </c>
      <c r="E24">
        <v>4.7674000000000002E-4</v>
      </c>
      <c r="F24" s="1">
        <v>1.59E-6</v>
      </c>
      <c r="G24">
        <v>1591.5</v>
      </c>
      <c r="H24">
        <v>15</v>
      </c>
      <c r="J24">
        <f t="shared" si="0"/>
        <v>9.9999632639999998</v>
      </c>
      <c r="K24">
        <f t="shared" si="1"/>
        <v>4.4914E-4</v>
      </c>
      <c r="L24">
        <f t="shared" si="2"/>
        <v>4.4915560000415029E-6</v>
      </c>
      <c r="M24">
        <v>10</v>
      </c>
      <c r="N24">
        <f t="shared" si="3"/>
        <v>-3.6735999999759628</v>
      </c>
      <c r="O24">
        <f t="shared" si="4"/>
        <v>-6.096490000041773</v>
      </c>
    </row>
    <row r="25" spans="1:15" x14ac:dyDescent="0.25">
      <c r="A25" s="2">
        <v>44827.002939814818</v>
      </c>
      <c r="B25" t="s">
        <v>50</v>
      </c>
      <c r="C25">
        <v>10.0001766</v>
      </c>
      <c r="D25" s="1">
        <v>1.2599999999999999E-7</v>
      </c>
      <c r="E25">
        <v>5.0600999999999999E-4</v>
      </c>
      <c r="F25" s="1">
        <v>1.35E-6</v>
      </c>
      <c r="G25">
        <v>1591.5</v>
      </c>
      <c r="H25">
        <v>15</v>
      </c>
      <c r="J25">
        <f t="shared" si="0"/>
        <v>10.000176678999999</v>
      </c>
      <c r="K25">
        <f t="shared" si="1"/>
        <v>4.7840999999999997E-4</v>
      </c>
      <c r="L25">
        <f t="shared" si="2"/>
        <v>4.7841640647941196E-6</v>
      </c>
      <c r="M25">
        <v>10</v>
      </c>
      <c r="N25">
        <f t="shared" si="3"/>
        <v>17.667899999906922</v>
      </c>
      <c r="O25">
        <f t="shared" si="4"/>
        <v>15.245009999841113</v>
      </c>
    </row>
    <row r="26" spans="1:15" x14ac:dyDescent="0.25">
      <c r="A26" s="2">
        <v>44827.003958333335</v>
      </c>
      <c r="B26" t="s">
        <v>51</v>
      </c>
      <c r="C26">
        <v>10.000297</v>
      </c>
      <c r="D26" s="1">
        <v>9.9999999999999995E-8</v>
      </c>
      <c r="E26">
        <v>4.9775999999999998E-4</v>
      </c>
      <c r="F26" s="1">
        <v>7.7000000000000004E-7</v>
      </c>
      <c r="G26">
        <v>1591.5</v>
      </c>
      <c r="H26">
        <v>15</v>
      </c>
      <c r="J26">
        <f t="shared" si="0"/>
        <v>10.000297078999999</v>
      </c>
      <c r="K26">
        <f t="shared" si="1"/>
        <v>4.7015999999999996E-4</v>
      </c>
      <c r="L26">
        <f t="shared" si="2"/>
        <v>4.7016063536805263E-6</v>
      </c>
      <c r="M26">
        <v>10</v>
      </c>
      <c r="N26">
        <f t="shared" si="3"/>
        <v>29.707900000008891</v>
      </c>
      <c r="O26">
        <f t="shared" si="4"/>
        <v>27.285009999943082</v>
      </c>
    </row>
    <row r="27" spans="1:15" x14ac:dyDescent="0.25">
      <c r="A27" s="2">
        <v>44827.005543981482</v>
      </c>
      <c r="B27" t="s">
        <v>53</v>
      </c>
      <c r="C27">
        <v>10.00020932</v>
      </c>
      <c r="D27" s="1">
        <v>1.6E-7</v>
      </c>
      <c r="E27">
        <v>4.9458E-4</v>
      </c>
      <c r="F27" s="1">
        <v>1.5999999999999999E-6</v>
      </c>
      <c r="G27">
        <v>1591.5</v>
      </c>
      <c r="H27">
        <v>15</v>
      </c>
      <c r="J27">
        <f t="shared" si="0"/>
        <v>10.000209398999999</v>
      </c>
      <c r="K27">
        <f t="shared" si="1"/>
        <v>4.6697999999999998E-4</v>
      </c>
      <c r="L27">
        <f t="shared" si="2"/>
        <v>4.669847254710793E-6</v>
      </c>
      <c r="M27">
        <v>10</v>
      </c>
      <c r="N27">
        <f t="shared" si="3"/>
        <v>20.939899999961042</v>
      </c>
      <c r="O27">
        <f t="shared" si="4"/>
        <v>18.517009999895233</v>
      </c>
    </row>
    <row r="28" spans="1:15" x14ac:dyDescent="0.25">
      <c r="A28" s="2">
        <v>44827.007118055553</v>
      </c>
      <c r="B28" t="s">
        <v>54</v>
      </c>
      <c r="C28">
        <v>10.00033451</v>
      </c>
      <c r="D28" s="1">
        <v>1.3E-7</v>
      </c>
      <c r="E28">
        <v>5.0064E-4</v>
      </c>
      <c r="F28" s="1">
        <v>1.26E-6</v>
      </c>
      <c r="G28">
        <v>1591.5</v>
      </c>
      <c r="H28">
        <v>15</v>
      </c>
      <c r="J28">
        <f t="shared" si="0"/>
        <v>10.000334588999999</v>
      </c>
      <c r="K28">
        <f t="shared" si="1"/>
        <v>4.7303999999999998E-4</v>
      </c>
      <c r="L28">
        <f t="shared" si="2"/>
        <v>4.7303886494397561E-6</v>
      </c>
      <c r="M28">
        <v>10</v>
      </c>
      <c r="N28">
        <f t="shared" si="3"/>
        <v>33.458899999949665</v>
      </c>
      <c r="O28">
        <f t="shared" si="4"/>
        <v>31.036009999883856</v>
      </c>
    </row>
    <row r="29" spans="1:15" x14ac:dyDescent="0.25">
      <c r="A29" s="2">
        <v>44827.008831018517</v>
      </c>
      <c r="B29" t="s">
        <v>55</v>
      </c>
      <c r="C29">
        <v>10.00039411</v>
      </c>
      <c r="D29" s="1">
        <v>8.3099999999999996E-8</v>
      </c>
      <c r="E29">
        <v>4.9206E-4</v>
      </c>
      <c r="F29" s="1">
        <v>6.1799999999999995E-7</v>
      </c>
      <c r="G29">
        <v>1591.5</v>
      </c>
      <c r="H29">
        <v>15</v>
      </c>
      <c r="J29">
        <f t="shared" si="0"/>
        <v>10.000394189</v>
      </c>
      <c r="K29">
        <f t="shared" si="1"/>
        <v>4.6445999999999998E-4</v>
      </c>
      <c r="L29">
        <f t="shared" si="2"/>
        <v>4.6445611746577926E-6</v>
      </c>
      <c r="M29">
        <v>10</v>
      </c>
      <c r="N29">
        <f t="shared" si="3"/>
        <v>39.418899999921209</v>
      </c>
      <c r="O29">
        <f t="shared" si="4"/>
        <v>36.996009999855396</v>
      </c>
    </row>
    <row r="30" spans="1:15" x14ac:dyDescent="0.25">
      <c r="A30" s="2">
        <v>44827.010208333333</v>
      </c>
      <c r="B30" t="s">
        <v>56</v>
      </c>
      <c r="C30">
        <v>10.000203300000001</v>
      </c>
      <c r="D30" s="1">
        <v>1.2599999999999999E-7</v>
      </c>
      <c r="E30">
        <v>4.8775000000000001E-4</v>
      </c>
      <c r="F30" s="1">
        <v>1.0300000000000001E-6</v>
      </c>
      <c r="G30">
        <v>1591.5</v>
      </c>
      <c r="H30">
        <v>15</v>
      </c>
      <c r="I30" t="s">
        <v>133</v>
      </c>
      <c r="J30">
        <f t="shared" si="0"/>
        <v>10.000203379</v>
      </c>
      <c r="K30">
        <f t="shared" si="1"/>
        <v>4.6014999999999999E-4</v>
      </c>
      <c r="L30">
        <f t="shared" si="2"/>
        <v>4.6015493336430937E-6</v>
      </c>
      <c r="M30">
        <v>10</v>
      </c>
      <c r="N30">
        <f t="shared" si="3"/>
        <v>20.337900000111375</v>
      </c>
      <c r="O30">
        <f t="shared" si="4"/>
        <v>17.915010000045566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4903-3961-4FFA-B38D-4B78C1A0FDC1}">
  <dimension ref="A1:P30"/>
  <sheetViews>
    <sheetView workbookViewId="0">
      <selection activeCell="A3" sqref="A3"/>
    </sheetView>
  </sheetViews>
  <sheetFormatPr defaultRowHeight="15" x14ac:dyDescent="0.25"/>
  <cols>
    <col min="1" max="1" width="69.140625" bestFit="1" customWidth="1"/>
    <col min="2" max="2" width="9.28515625" bestFit="1" customWidth="1"/>
    <col min="3" max="3" width="15.7109375" bestFit="1" customWidth="1"/>
    <col min="4" max="4" width="12" bestFit="1" customWidth="1"/>
    <col min="5" max="5" width="16.5703125" bestFit="1" customWidth="1"/>
    <col min="6" max="6" width="12" bestFit="1" customWidth="1"/>
    <col min="7" max="7" width="14.42578125" bestFit="1" customWidth="1"/>
    <col min="8" max="8" width="11" bestFit="1" customWidth="1"/>
    <col min="9" max="9" width="64.42578125" bestFit="1" customWidth="1"/>
    <col min="10" max="10" width="15.7109375" bestFit="1" customWidth="1"/>
    <col min="11" max="11" width="102.7109375" bestFit="1" customWidth="1"/>
    <col min="12" max="12" width="12.7109375" bestFit="1" customWidth="1"/>
    <col min="13" max="13" width="9.85546875" bestFit="1" customWidth="1"/>
    <col min="14" max="14" width="12.7109375" bestFit="1" customWidth="1"/>
    <col min="15" max="15" width="14" bestFit="1" customWidth="1"/>
    <col min="16" max="16" width="8.7109375" bestFit="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-2.4157900000334651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9">
        <v>44859.400045995368</v>
      </c>
      <c r="B3" t="s">
        <v>17</v>
      </c>
      <c r="C3" s="1">
        <v>-1.49E-7</v>
      </c>
      <c r="D3" s="1">
        <v>8.2030482139263296E-8</v>
      </c>
      <c r="E3" s="1">
        <v>2.7719999999999999E-5</v>
      </c>
      <c r="F3" s="1">
        <v>9.3786992701546695E-7</v>
      </c>
      <c r="G3">
        <v>1591.5</v>
      </c>
      <c r="H3">
        <v>15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9">
        <v>44859.401498460647</v>
      </c>
      <c r="B4" t="s">
        <v>21</v>
      </c>
      <c r="C4">
        <v>9.9999756550000001</v>
      </c>
      <c r="D4" s="1">
        <v>9.4999999997618901E-8</v>
      </c>
      <c r="E4">
        <v>-1.63059999999999E-4</v>
      </c>
      <c r="F4" s="1">
        <v>6.0199667773169896E-7</v>
      </c>
      <c r="G4">
        <v>1591.5</v>
      </c>
      <c r="H4">
        <v>15</v>
      </c>
      <c r="I4" t="s">
        <v>134</v>
      </c>
      <c r="J4">
        <f t="shared" ref="J4:J30" si="0">C4-C$3</f>
        <v>9.999975804</v>
      </c>
      <c r="K4">
        <f>E4-E$3</f>
        <v>-1.9077999999999901E-4</v>
      </c>
      <c r="L4">
        <f>K4*0.000000001/(2*PI()*J4*G4*0.000000000001)</f>
        <v>-1.907863871251503E-6</v>
      </c>
      <c r="M4">
        <v>10</v>
      </c>
      <c r="N4">
        <f>(J4/M4-1)*1000000</f>
        <v>-2.4196000000253903</v>
      </c>
      <c r="O4">
        <f>N4+P$1</f>
        <v>-4.8353900000588554</v>
      </c>
    </row>
    <row r="5" spans="1:16" x14ac:dyDescent="0.25">
      <c r="A5" s="9">
        <v>44859.40285835648</v>
      </c>
      <c r="B5" t="s">
        <v>23</v>
      </c>
      <c r="C5">
        <v>9.9999782939999999</v>
      </c>
      <c r="D5" s="1">
        <v>7.1442284719650902E-8</v>
      </c>
      <c r="E5">
        <v>-1.3579E-4</v>
      </c>
      <c r="F5" s="1">
        <v>1.2242957159117999E-6</v>
      </c>
      <c r="G5">
        <v>1591.5</v>
      </c>
      <c r="H5">
        <v>15</v>
      </c>
      <c r="J5">
        <f t="shared" si="0"/>
        <v>9.9999784429999998</v>
      </c>
      <c r="K5">
        <f t="shared" ref="K5:K30" si="1">E5-E$3</f>
        <v>-1.6351000000000001E-4</v>
      </c>
      <c r="L5">
        <f t="shared" ref="L5:L30" si="2">K5*0.000000001/(2*PI()*J5*G5*0.000000000001)</f>
        <v>-1.6351543100077581E-6</v>
      </c>
      <c r="M5">
        <v>10</v>
      </c>
      <c r="N5">
        <f t="shared" ref="N5:N30" si="3">(J5/M5-1)*1000000</f>
        <v>-2.1557000000616</v>
      </c>
      <c r="O5">
        <f t="shared" ref="O5:O30" si="4">N5+P$1</f>
        <v>-4.5714900000950651</v>
      </c>
    </row>
    <row r="6" spans="1:16" x14ac:dyDescent="0.25">
      <c r="A6" s="9">
        <v>44859.403915902774</v>
      </c>
      <c r="B6" t="s">
        <v>24</v>
      </c>
      <c r="C6">
        <v>99.999821429999997</v>
      </c>
      <c r="D6" s="1">
        <v>9.0000001446495699E-8</v>
      </c>
      <c r="E6">
        <v>1.7443999999999999E-3</v>
      </c>
      <c r="F6" s="1">
        <v>1.1135528725659899E-6</v>
      </c>
      <c r="G6">
        <v>1591.5</v>
      </c>
      <c r="H6">
        <v>15</v>
      </c>
      <c r="J6">
        <f t="shared" si="0"/>
        <v>99.999821578999999</v>
      </c>
      <c r="K6">
        <f t="shared" si="1"/>
        <v>1.7166799999999999E-3</v>
      </c>
      <c r="L6">
        <f t="shared" si="2"/>
        <v>1.7167363819437298E-6</v>
      </c>
      <c r="M6">
        <v>100</v>
      </c>
      <c r="N6">
        <f t="shared" si="3"/>
        <v>-1.7842099999665351</v>
      </c>
      <c r="O6">
        <f t="shared" si="4"/>
        <v>-4.2</v>
      </c>
    </row>
    <row r="7" spans="1:16" x14ac:dyDescent="0.25">
      <c r="A7" s="9">
        <v>44859.404971192133</v>
      </c>
      <c r="B7" t="s">
        <v>25</v>
      </c>
      <c r="C7">
        <v>99.999818579999996</v>
      </c>
      <c r="D7" s="1">
        <v>1.4696938589771799E-7</v>
      </c>
      <c r="E7">
        <v>2.1209000000000002E-3</v>
      </c>
      <c r="F7" s="1">
        <v>8.3066238629191696E-7</v>
      </c>
      <c r="G7">
        <v>1591.5</v>
      </c>
      <c r="H7">
        <v>15</v>
      </c>
      <c r="J7">
        <f t="shared" si="0"/>
        <v>99.999818728999998</v>
      </c>
      <c r="K7">
        <f t="shared" si="1"/>
        <v>2.09318E-3</v>
      </c>
      <c r="L7">
        <f t="shared" si="2"/>
        <v>2.0932488072151788E-6</v>
      </c>
      <c r="M7">
        <v>100</v>
      </c>
      <c r="N7">
        <f t="shared" si="3"/>
        <v>-1.8127099999931673</v>
      </c>
      <c r="O7">
        <f t="shared" si="4"/>
        <v>-4.2285000000266324</v>
      </c>
    </row>
    <row r="8" spans="1:16" x14ac:dyDescent="0.25">
      <c r="A8" s="9">
        <v>44859.405866469904</v>
      </c>
      <c r="B8" t="s">
        <v>26</v>
      </c>
      <c r="C8">
        <v>9.9999757539999994</v>
      </c>
      <c r="D8" s="1">
        <v>8.54634423066722E-8</v>
      </c>
      <c r="E8">
        <v>-2.7150999999999998E-4</v>
      </c>
      <c r="F8" s="1">
        <v>8.6075548212021098E-7</v>
      </c>
      <c r="G8">
        <v>1591.5</v>
      </c>
      <c r="H8">
        <v>15</v>
      </c>
      <c r="I8" t="s">
        <v>135</v>
      </c>
      <c r="J8">
        <f t="shared" si="0"/>
        <v>9.9999759029999993</v>
      </c>
      <c r="K8">
        <f t="shared" si="1"/>
        <v>-2.9922999999999999E-4</v>
      </c>
      <c r="L8">
        <f t="shared" si="2"/>
        <v>-2.9924001496108852E-6</v>
      </c>
      <c r="M8">
        <v>10</v>
      </c>
      <c r="N8">
        <f t="shared" si="3"/>
        <v>-2.4097000000944391</v>
      </c>
      <c r="O8">
        <f t="shared" si="4"/>
        <v>-4.8254900001279042</v>
      </c>
    </row>
    <row r="9" spans="1:16" x14ac:dyDescent="0.25">
      <c r="A9" s="9">
        <v>44859.407255358798</v>
      </c>
      <c r="B9" t="s">
        <v>28</v>
      </c>
      <c r="C9">
        <v>9.9999734159999996</v>
      </c>
      <c r="D9" s="1">
        <v>7.1582120555295104E-8</v>
      </c>
      <c r="E9">
        <v>-2.33039999999999E-4</v>
      </c>
      <c r="F9" s="1">
        <v>6.8731361109758497E-7</v>
      </c>
      <c r="G9">
        <v>1591.5</v>
      </c>
      <c r="H9">
        <v>15</v>
      </c>
      <c r="J9">
        <f t="shared" si="0"/>
        <v>9.9999735649999995</v>
      </c>
      <c r="K9">
        <f t="shared" si="1"/>
        <v>-2.6075999999999899E-4</v>
      </c>
      <c r="L9">
        <f t="shared" si="2"/>
        <v>-2.6076878837240499E-6</v>
      </c>
      <c r="M9">
        <v>10</v>
      </c>
      <c r="N9">
        <f t="shared" si="3"/>
        <v>-2.6435000000102349</v>
      </c>
      <c r="O9">
        <f t="shared" si="4"/>
        <v>-5.0592900000437</v>
      </c>
    </row>
    <row r="10" spans="1:16" x14ac:dyDescent="0.25">
      <c r="A10" s="9">
        <v>44859.408514259259</v>
      </c>
      <c r="B10" t="s">
        <v>29</v>
      </c>
      <c r="C10">
        <v>99.999783659999906</v>
      </c>
      <c r="D10" s="1">
        <v>4.8989791947229097E-8</v>
      </c>
      <c r="E10">
        <v>8.0019999999999896E-4</v>
      </c>
      <c r="F10" s="1">
        <v>9.7979589711324996E-7</v>
      </c>
      <c r="G10">
        <v>1591.5</v>
      </c>
      <c r="H10">
        <v>15</v>
      </c>
      <c r="J10">
        <f t="shared" si="0"/>
        <v>99.999783808999908</v>
      </c>
      <c r="K10">
        <f t="shared" si="1"/>
        <v>7.72479999999999E-4</v>
      </c>
      <c r="L10">
        <f t="shared" si="2"/>
        <v>7.7250566279665409E-7</v>
      </c>
      <c r="M10">
        <v>100</v>
      </c>
      <c r="N10">
        <f t="shared" si="3"/>
        <v>-2.1619100009084846</v>
      </c>
      <c r="O10">
        <f t="shared" si="4"/>
        <v>-4.5777000009419497</v>
      </c>
    </row>
    <row r="11" spans="1:16" x14ac:dyDescent="0.25">
      <c r="A11" s="9">
        <v>44859.409907280089</v>
      </c>
      <c r="B11" t="s">
        <v>30</v>
      </c>
      <c r="C11">
        <v>99.999861979999906</v>
      </c>
      <c r="D11" s="1">
        <v>1.40000000620992E-7</v>
      </c>
      <c r="E11">
        <v>8.8860000000000002E-4</v>
      </c>
      <c r="F11" s="1">
        <v>1.1135528725659899E-6</v>
      </c>
      <c r="G11">
        <v>1591.5</v>
      </c>
      <c r="H11">
        <v>15</v>
      </c>
      <c r="J11">
        <f t="shared" si="0"/>
        <v>99.999862128999908</v>
      </c>
      <c r="K11">
        <f t="shared" si="1"/>
        <v>8.6088000000000007E-4</v>
      </c>
      <c r="L11">
        <f t="shared" si="2"/>
        <v>8.6090792529581232E-7</v>
      </c>
      <c r="M11">
        <v>100</v>
      </c>
      <c r="N11">
        <f t="shared" si="3"/>
        <v>-1.3787100009432507</v>
      </c>
      <c r="O11">
        <f t="shared" si="4"/>
        <v>-3.7945000009767158</v>
      </c>
    </row>
    <row r="12" spans="1:16" x14ac:dyDescent="0.25">
      <c r="A12" s="9">
        <v>44859.412174062498</v>
      </c>
      <c r="B12" t="s">
        <v>31</v>
      </c>
      <c r="C12">
        <v>10.0001904399999</v>
      </c>
      <c r="D12" s="1">
        <v>1.01980390348817E-7</v>
      </c>
      <c r="E12">
        <v>9.2672000000000002E-4</v>
      </c>
      <c r="F12" s="1">
        <v>1.2106196760337E-6</v>
      </c>
      <c r="G12">
        <v>1591.5</v>
      </c>
      <c r="H12">
        <v>15</v>
      </c>
      <c r="I12" t="s">
        <v>136</v>
      </c>
      <c r="J12">
        <f t="shared" si="0"/>
        <v>10.000190588999899</v>
      </c>
      <c r="K12">
        <f t="shared" si="1"/>
        <v>8.9900000000000006E-4</v>
      </c>
      <c r="L12">
        <f t="shared" si="2"/>
        <v>8.9901078817829005E-6</v>
      </c>
      <c r="M12">
        <v>10</v>
      </c>
      <c r="N12">
        <f t="shared" si="3"/>
        <v>19.058899989987665</v>
      </c>
      <c r="O12">
        <f t="shared" si="4"/>
        <v>16.643109989954201</v>
      </c>
    </row>
    <row r="13" spans="1:16" x14ac:dyDescent="0.25">
      <c r="A13" s="9">
        <v>44859.414460057873</v>
      </c>
      <c r="B13" t="s">
        <v>33</v>
      </c>
      <c r="C13">
        <v>100.004065</v>
      </c>
      <c r="D13">
        <v>0</v>
      </c>
      <c r="E13">
        <v>8.8900000000000003E-3</v>
      </c>
      <c r="F13" s="1">
        <v>2.2383029285597599E-6</v>
      </c>
      <c r="G13">
        <v>1591.5</v>
      </c>
      <c r="H13">
        <v>15</v>
      </c>
      <c r="J13">
        <f t="shared" si="0"/>
        <v>100.004065149</v>
      </c>
      <c r="K13">
        <f t="shared" si="1"/>
        <v>8.8622800000000002E-3</v>
      </c>
      <c r="L13">
        <f t="shared" si="2"/>
        <v>8.8621949950214513E-6</v>
      </c>
      <c r="M13">
        <v>100</v>
      </c>
      <c r="N13">
        <f t="shared" si="3"/>
        <v>40.651489999987689</v>
      </c>
      <c r="O13">
        <f t="shared" si="4"/>
        <v>38.235699999954221</v>
      </c>
    </row>
    <row r="14" spans="1:16" x14ac:dyDescent="0.25">
      <c r="A14" s="9">
        <v>44859.416228888891</v>
      </c>
      <c r="B14" t="s">
        <v>34</v>
      </c>
      <c r="C14">
        <v>1000.032641</v>
      </c>
      <c r="D14" s="1">
        <v>2.9999999924257201E-6</v>
      </c>
      <c r="E14">
        <v>0.20257</v>
      </c>
      <c r="F14" s="1">
        <v>2.6076809620809999E-5</v>
      </c>
      <c r="G14">
        <v>1591.5</v>
      </c>
      <c r="H14">
        <v>1.5</v>
      </c>
      <c r="J14">
        <f t="shared" si="0"/>
        <v>1000.032641149</v>
      </c>
      <c r="K14">
        <f t="shared" si="1"/>
        <v>0.20254227999999999</v>
      </c>
      <c r="L14">
        <f t="shared" si="2"/>
        <v>2.0254195962462718E-5</v>
      </c>
      <c r="M14">
        <v>1000</v>
      </c>
      <c r="N14">
        <f t="shared" si="3"/>
        <v>32.641148999923431</v>
      </c>
      <c r="O14">
        <f t="shared" si="4"/>
        <v>30.225358999889966</v>
      </c>
    </row>
    <row r="15" spans="1:16" x14ac:dyDescent="0.25">
      <c r="A15" s="9">
        <v>44859.418197222221</v>
      </c>
      <c r="B15" t="s">
        <v>35</v>
      </c>
      <c r="C15">
        <v>1000.005044</v>
      </c>
      <c r="D15">
        <v>1.0910545357925799E-4</v>
      </c>
      <c r="E15">
        <v>0.21597999999999901</v>
      </c>
      <c r="F15">
        <v>2.5436194683954003E-4</v>
      </c>
      <c r="G15">
        <v>1591.5</v>
      </c>
      <c r="H15">
        <v>1.5</v>
      </c>
      <c r="J15">
        <f t="shared" si="0"/>
        <v>1000.005044149</v>
      </c>
      <c r="K15">
        <f t="shared" si="1"/>
        <v>0.215952279999999</v>
      </c>
      <c r="L15">
        <f t="shared" si="2"/>
        <v>2.1595789800866911E-5</v>
      </c>
      <c r="M15">
        <v>1000</v>
      </c>
      <c r="N15">
        <f t="shared" si="3"/>
        <v>5.0441490000441291</v>
      </c>
      <c r="O15">
        <f t="shared" si="4"/>
        <v>2.628359000010664</v>
      </c>
    </row>
    <row r="16" spans="1:16" x14ac:dyDescent="0.25">
      <c r="A16" s="9">
        <v>44859.419836631947</v>
      </c>
      <c r="B16" t="s">
        <v>36</v>
      </c>
      <c r="C16">
        <v>4.9999556470000002</v>
      </c>
      <c r="D16" s="1">
        <v>6.2777384452029505E-8</v>
      </c>
      <c r="E16">
        <v>2.6181999999999898E-4</v>
      </c>
      <c r="F16" s="1">
        <v>1.11964280018226E-6</v>
      </c>
      <c r="G16">
        <v>1591.5</v>
      </c>
      <c r="H16">
        <v>15</v>
      </c>
      <c r="I16" t="s">
        <v>137</v>
      </c>
      <c r="J16">
        <f t="shared" si="0"/>
        <v>4.9999557960000001</v>
      </c>
      <c r="K16">
        <f t="shared" si="1"/>
        <v>2.3409999999999897E-4</v>
      </c>
      <c r="L16">
        <f t="shared" si="2"/>
        <v>4.6821868140462764E-6</v>
      </c>
      <c r="M16">
        <v>5</v>
      </c>
      <c r="N16">
        <f t="shared" si="3"/>
        <v>-8.840799999965121</v>
      </c>
      <c r="O16">
        <f t="shared" si="4"/>
        <v>-11.256589999998585</v>
      </c>
    </row>
    <row r="17" spans="1:15" x14ac:dyDescent="0.25">
      <c r="A17" s="9">
        <v>44859.437106493053</v>
      </c>
      <c r="B17" t="s">
        <v>38</v>
      </c>
      <c r="C17">
        <v>5.0001037180000001</v>
      </c>
      <c r="D17" s="1">
        <v>8.6579443393395204E-8</v>
      </c>
      <c r="E17" s="1">
        <v>9.3350000000000006E-5</v>
      </c>
      <c r="F17" s="1">
        <v>2.0713389389474599E-5</v>
      </c>
      <c r="G17">
        <v>1591.5</v>
      </c>
      <c r="H17">
        <v>15</v>
      </c>
      <c r="J17">
        <f t="shared" si="0"/>
        <v>5.000103867</v>
      </c>
      <c r="K17">
        <f t="shared" si="1"/>
        <v>6.5630000000000007E-5</v>
      </c>
      <c r="L17">
        <f t="shared" si="2"/>
        <v>1.3126135010273455E-6</v>
      </c>
      <c r="M17">
        <v>5</v>
      </c>
      <c r="N17">
        <f t="shared" si="3"/>
        <v>20.773399999951536</v>
      </c>
      <c r="O17">
        <f t="shared" si="4"/>
        <v>18.357609999918072</v>
      </c>
    </row>
    <row r="18" spans="1:15" x14ac:dyDescent="0.25">
      <c r="A18" s="9">
        <v>44859.438649849537</v>
      </c>
      <c r="B18" t="s">
        <v>40</v>
      </c>
      <c r="C18">
        <v>0.50005162999999997</v>
      </c>
      <c r="D18" s="1">
        <v>7.8485667485348703E-8</v>
      </c>
      <c r="E18" s="1">
        <v>7.5420000000000006E-5</v>
      </c>
      <c r="F18" s="1">
        <v>9.4847245611034895E-7</v>
      </c>
      <c r="G18">
        <v>1591.5</v>
      </c>
      <c r="H18">
        <v>15</v>
      </c>
      <c r="J18">
        <f t="shared" si="0"/>
        <v>0.50005177899999997</v>
      </c>
      <c r="K18">
        <f t="shared" si="1"/>
        <v>4.7700000000000007E-5</v>
      </c>
      <c r="L18">
        <f t="shared" si="2"/>
        <v>9.5393084342769435E-6</v>
      </c>
      <c r="M18">
        <v>0.5</v>
      </c>
      <c r="N18">
        <f t="shared" si="3"/>
        <v>103.55799999994808</v>
      </c>
      <c r="O18">
        <f t="shared" si="4"/>
        <v>101.14220999991461</v>
      </c>
    </row>
    <row r="19" spans="1:15" x14ac:dyDescent="0.25">
      <c r="A19" s="9">
        <v>44859.440602233793</v>
      </c>
      <c r="B19" t="s">
        <v>42</v>
      </c>
      <c r="C19">
        <v>1000.1564069999999</v>
      </c>
      <c r="D19" s="1">
        <v>7.8102497013116005E-6</v>
      </c>
      <c r="E19">
        <v>0.108031</v>
      </c>
      <c r="F19" s="1">
        <v>3.3896902513357399E-5</v>
      </c>
      <c r="G19">
        <v>1591.5</v>
      </c>
      <c r="H19">
        <v>1.5</v>
      </c>
      <c r="J19">
        <f t="shared" si="0"/>
        <v>1000.156407149</v>
      </c>
      <c r="K19">
        <f t="shared" si="1"/>
        <v>0.10800328000000001</v>
      </c>
      <c r="L19">
        <f t="shared" si="2"/>
        <v>1.0798974414119048E-5</v>
      </c>
      <c r="M19">
        <v>1000</v>
      </c>
      <c r="N19">
        <f t="shared" si="3"/>
        <v>156.40714899989305</v>
      </c>
      <c r="O19">
        <f t="shared" si="4"/>
        <v>153.99135899985959</v>
      </c>
    </row>
    <row r="20" spans="1:15" x14ac:dyDescent="0.25">
      <c r="A20" s="9">
        <v>44859.443121435186</v>
      </c>
      <c r="B20" t="s">
        <v>44</v>
      </c>
      <c r="C20">
        <v>10.000356139999999</v>
      </c>
      <c r="D20" s="1">
        <v>1.11355287313641E-7</v>
      </c>
      <c r="E20">
        <v>4.8471000000000001E-4</v>
      </c>
      <c r="F20" s="1">
        <v>1.8694651641579099E-6</v>
      </c>
      <c r="G20">
        <v>1591.5</v>
      </c>
      <c r="H20">
        <v>15</v>
      </c>
      <c r="I20" t="s">
        <v>138</v>
      </c>
      <c r="J20">
        <f t="shared" si="0"/>
        <v>10.000356288999999</v>
      </c>
      <c r="K20">
        <f t="shared" si="1"/>
        <v>4.5699E-4</v>
      </c>
      <c r="L20">
        <f t="shared" si="2"/>
        <v>4.5698791182524369E-6</v>
      </c>
      <c r="M20">
        <v>10</v>
      </c>
      <c r="N20">
        <f t="shared" si="3"/>
        <v>35.628899999862185</v>
      </c>
      <c r="O20">
        <f t="shared" si="4"/>
        <v>33.213109999828717</v>
      </c>
    </row>
    <row r="21" spans="1:15" x14ac:dyDescent="0.25">
      <c r="A21" s="9">
        <v>44859.446448275463</v>
      </c>
      <c r="B21" t="s">
        <v>46</v>
      </c>
      <c r="C21">
        <v>10.000096299999999</v>
      </c>
      <c r="D21" s="1">
        <v>1.4832396955905E-7</v>
      </c>
      <c r="E21">
        <v>4.8726999999999999E-4</v>
      </c>
      <c r="F21" s="1">
        <v>1.1798728745080899E-6</v>
      </c>
      <c r="G21">
        <v>1591.5</v>
      </c>
      <c r="H21">
        <v>15</v>
      </c>
      <c r="J21">
        <f t="shared" si="0"/>
        <v>10.000096448999999</v>
      </c>
      <c r="K21">
        <f t="shared" si="1"/>
        <v>4.5954999999999998E-4</v>
      </c>
      <c r="L21">
        <f t="shared" si="2"/>
        <v>4.5955984090502284E-6</v>
      </c>
      <c r="M21">
        <v>10</v>
      </c>
      <c r="N21">
        <f t="shared" si="3"/>
        <v>9.6448999999942941</v>
      </c>
      <c r="O21">
        <f t="shared" si="4"/>
        <v>7.229109999960829</v>
      </c>
    </row>
    <row r="22" spans="1:15" x14ac:dyDescent="0.25">
      <c r="A22" s="9">
        <v>44859.447324340275</v>
      </c>
      <c r="B22" t="s">
        <v>47</v>
      </c>
      <c r="C22">
        <v>10.000074509999999</v>
      </c>
      <c r="D22" s="1">
        <v>1.37477271046848E-7</v>
      </c>
      <c r="E22">
        <v>4.7167999999999901E-4</v>
      </c>
      <c r="F22" s="1">
        <v>1.2204917041913801E-6</v>
      </c>
      <c r="G22">
        <v>1591.5</v>
      </c>
      <c r="H22">
        <v>15</v>
      </c>
      <c r="J22">
        <f t="shared" si="0"/>
        <v>10.000074658999999</v>
      </c>
      <c r="K22">
        <f t="shared" si="1"/>
        <v>4.43959999999999E-4</v>
      </c>
      <c r="L22">
        <f t="shared" si="2"/>
        <v>4.4397047445965792E-6</v>
      </c>
      <c r="M22">
        <v>10</v>
      </c>
      <c r="N22">
        <f t="shared" si="3"/>
        <v>7.4659000000032449</v>
      </c>
      <c r="O22">
        <f t="shared" si="4"/>
        <v>5.0501099999697798</v>
      </c>
    </row>
    <row r="23" spans="1:15" x14ac:dyDescent="0.25">
      <c r="A23" s="9">
        <v>44859.449085555556</v>
      </c>
      <c r="B23" t="s">
        <v>48</v>
      </c>
      <c r="C23">
        <v>10.000169079999999</v>
      </c>
      <c r="D23" s="1">
        <v>1.16619037980228E-7</v>
      </c>
      <c r="E23">
        <v>5.0931000000000001E-4</v>
      </c>
      <c r="F23" s="1">
        <v>1.49963328850755E-6</v>
      </c>
      <c r="G23">
        <v>1591.5</v>
      </c>
      <c r="H23">
        <v>15</v>
      </c>
      <c r="I23" t="s">
        <v>139</v>
      </c>
      <c r="J23">
        <f t="shared" si="0"/>
        <v>10.000169228999999</v>
      </c>
      <c r="K23">
        <f t="shared" si="1"/>
        <v>4.8159E-4</v>
      </c>
      <c r="L23">
        <f t="shared" si="2"/>
        <v>4.8159680784668055E-6</v>
      </c>
      <c r="M23">
        <v>10</v>
      </c>
      <c r="N23">
        <f t="shared" si="3"/>
        <v>16.922899999993746</v>
      </c>
      <c r="O23">
        <f t="shared" si="4"/>
        <v>14.507109999960281</v>
      </c>
    </row>
    <row r="24" spans="1:15" x14ac:dyDescent="0.25">
      <c r="A24" s="9">
        <v>44859.452127222219</v>
      </c>
      <c r="B24" t="s">
        <v>49</v>
      </c>
      <c r="C24">
        <v>9.9999656399999992</v>
      </c>
      <c r="D24" s="1">
        <v>1.324386649283E-7</v>
      </c>
      <c r="E24">
        <v>4.7636999999999999E-4</v>
      </c>
      <c r="F24" s="1">
        <v>1.64805946494657E-6</v>
      </c>
      <c r="G24">
        <v>1591.5</v>
      </c>
      <c r="H24">
        <v>15</v>
      </c>
      <c r="J24">
        <f t="shared" si="0"/>
        <v>9.9999657889999991</v>
      </c>
      <c r="K24">
        <f t="shared" si="1"/>
        <v>4.4864999999999998E-4</v>
      </c>
      <c r="L24">
        <f t="shared" si="2"/>
        <v>4.4866546969650633E-6</v>
      </c>
      <c r="M24">
        <v>10</v>
      </c>
      <c r="N24">
        <f t="shared" si="3"/>
        <v>-3.4211000000672342</v>
      </c>
      <c r="O24">
        <f t="shared" si="4"/>
        <v>-5.8368900001006994</v>
      </c>
    </row>
    <row r="25" spans="1:15" x14ac:dyDescent="0.25">
      <c r="A25" s="9">
        <v>44859.456574444448</v>
      </c>
      <c r="B25" t="s">
        <v>50</v>
      </c>
      <c r="C25">
        <v>10.000175840000001</v>
      </c>
      <c r="D25" s="1">
        <v>1.4966629562955501E-7</v>
      </c>
      <c r="E25">
        <v>5.0880999999999995E-4</v>
      </c>
      <c r="F25" s="1">
        <v>1.4279005567615599E-6</v>
      </c>
      <c r="G25">
        <v>1591.5</v>
      </c>
      <c r="H25">
        <v>15</v>
      </c>
      <c r="J25">
        <f t="shared" si="0"/>
        <v>10.000175989000001</v>
      </c>
      <c r="K25">
        <f t="shared" si="1"/>
        <v>4.8108999999999994E-4</v>
      </c>
      <c r="L25">
        <f t="shared" si="2"/>
        <v>4.8109647556287258E-6</v>
      </c>
      <c r="M25">
        <v>10</v>
      </c>
      <c r="N25">
        <f t="shared" si="3"/>
        <v>17.598899999970996</v>
      </c>
      <c r="O25">
        <f t="shared" si="4"/>
        <v>15.183109999937532</v>
      </c>
    </row>
    <row r="26" spans="1:15" x14ac:dyDescent="0.25">
      <c r="A26" s="9">
        <v>44859.457473680559</v>
      </c>
      <c r="B26" t="s">
        <v>51</v>
      </c>
      <c r="C26">
        <v>10.0002982</v>
      </c>
      <c r="D26" s="1">
        <v>1.2649110634015499E-7</v>
      </c>
      <c r="E26">
        <v>4.9560999999999995E-4</v>
      </c>
      <c r="F26" s="1">
        <v>1.4679577650600201E-6</v>
      </c>
      <c r="G26">
        <v>1591.5</v>
      </c>
      <c r="H26">
        <v>15</v>
      </c>
      <c r="J26">
        <f t="shared" si="0"/>
        <v>10.000298348999999</v>
      </c>
      <c r="K26">
        <f t="shared" si="1"/>
        <v>4.6788999999999994E-4</v>
      </c>
      <c r="L26">
        <f t="shared" si="2"/>
        <v>4.6789057288006679E-6</v>
      </c>
      <c r="M26">
        <v>10</v>
      </c>
      <c r="N26">
        <f t="shared" si="3"/>
        <v>29.834899999858777</v>
      </c>
      <c r="O26">
        <f t="shared" si="4"/>
        <v>27.419109999825313</v>
      </c>
    </row>
    <row r="27" spans="1:15" x14ac:dyDescent="0.25">
      <c r="A27" s="9">
        <v>44859.458481226851</v>
      </c>
      <c r="B27" t="s">
        <v>53</v>
      </c>
      <c r="C27">
        <v>10.00021001</v>
      </c>
      <c r="D27" s="1">
        <v>5.3851648337813301E-8</v>
      </c>
      <c r="E27">
        <v>4.9639999999999895E-4</v>
      </c>
      <c r="F27" s="1">
        <v>1.71289229083444E-6</v>
      </c>
      <c r="G27">
        <v>1591.5</v>
      </c>
      <c r="H27">
        <v>15</v>
      </c>
      <c r="J27">
        <f t="shared" si="0"/>
        <v>10.000210159</v>
      </c>
      <c r="K27">
        <f t="shared" si="1"/>
        <v>4.6867999999999893E-4</v>
      </c>
      <c r="L27">
        <f t="shared" si="2"/>
        <v>4.6868470705445207E-6</v>
      </c>
      <c r="M27">
        <v>10</v>
      </c>
      <c r="N27">
        <f t="shared" si="3"/>
        <v>21.015900000032062</v>
      </c>
      <c r="O27">
        <f t="shared" si="4"/>
        <v>18.600109999998597</v>
      </c>
    </row>
    <row r="28" spans="1:15" x14ac:dyDescent="0.25">
      <c r="A28" s="9">
        <v>44859.460004548608</v>
      </c>
      <c r="B28" t="s">
        <v>54</v>
      </c>
      <c r="C28">
        <v>10.00033533</v>
      </c>
      <c r="D28" s="1">
        <v>1.1000000036499399E-7</v>
      </c>
      <c r="E28">
        <v>4.9992000000000005E-4</v>
      </c>
      <c r="F28" s="1">
        <v>1.17711511756495E-6</v>
      </c>
      <c r="G28">
        <v>1591.5</v>
      </c>
      <c r="H28">
        <v>15</v>
      </c>
      <c r="J28">
        <f t="shared" si="0"/>
        <v>10.000335479</v>
      </c>
      <c r="K28">
        <f t="shared" si="1"/>
        <v>4.7220000000000004E-4</v>
      </c>
      <c r="L28">
        <f t="shared" si="2"/>
        <v>4.7219882493526019E-6</v>
      </c>
      <c r="M28">
        <v>10</v>
      </c>
      <c r="N28">
        <f t="shared" si="3"/>
        <v>33.547899999986086</v>
      </c>
      <c r="O28">
        <f t="shared" si="4"/>
        <v>31.132109999952622</v>
      </c>
    </row>
    <row r="29" spans="1:15" x14ac:dyDescent="0.25">
      <c r="A29" s="9">
        <v>44859.460829305557</v>
      </c>
      <c r="B29" t="s">
        <v>55</v>
      </c>
      <c r="C29">
        <v>10.000396479999999</v>
      </c>
      <c r="D29" s="1">
        <v>9.7979589877313395E-8</v>
      </c>
      <c r="E29">
        <v>4.9029999999999896E-4</v>
      </c>
      <c r="F29" s="1">
        <v>1.19666202413211E-6</v>
      </c>
      <c r="G29">
        <v>1591.5</v>
      </c>
      <c r="H29">
        <v>15</v>
      </c>
      <c r="J29">
        <f t="shared" si="0"/>
        <v>10.000396628999999</v>
      </c>
      <c r="K29">
        <f t="shared" si="1"/>
        <v>4.6257999999999895E-4</v>
      </c>
      <c r="L29">
        <f t="shared" si="2"/>
        <v>4.6257602031705615E-6</v>
      </c>
      <c r="M29">
        <v>10</v>
      </c>
      <c r="N29">
        <f t="shared" si="3"/>
        <v>39.6628999999038</v>
      </c>
      <c r="O29">
        <f t="shared" si="4"/>
        <v>37.247109999870332</v>
      </c>
    </row>
    <row r="30" spans="1:15" x14ac:dyDescent="0.25">
      <c r="A30" s="9">
        <v>44859.462484050928</v>
      </c>
      <c r="B30" t="s">
        <v>56</v>
      </c>
      <c r="C30">
        <v>10.000204589999999</v>
      </c>
      <c r="D30" s="1">
        <v>1.69999999990847E-7</v>
      </c>
      <c r="E30">
        <v>4.8950000000000003E-4</v>
      </c>
      <c r="F30" s="1">
        <v>1.2058192235986199E-6</v>
      </c>
      <c r="G30">
        <v>1591.5</v>
      </c>
      <c r="H30">
        <v>15</v>
      </c>
      <c r="I30" t="s">
        <v>140</v>
      </c>
      <c r="J30">
        <f t="shared" si="0"/>
        <v>10.000204738999999</v>
      </c>
      <c r="K30">
        <f t="shared" si="1"/>
        <v>4.6178000000000001E-4</v>
      </c>
      <c r="L30">
        <f t="shared" si="2"/>
        <v>4.6178488803841256E-6</v>
      </c>
      <c r="M30">
        <v>10</v>
      </c>
      <c r="N30">
        <f t="shared" si="3"/>
        <v>20.473899999817746</v>
      </c>
      <c r="O30">
        <f t="shared" si="4"/>
        <v>18.058109999784282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25F9C-E209-49DA-BDE4-9587E0772A35}">
  <dimension ref="A1:P30"/>
  <sheetViews>
    <sheetView workbookViewId="0">
      <selection activeCell="A3" sqref="A3"/>
    </sheetView>
  </sheetViews>
  <sheetFormatPr defaultRowHeight="15" x14ac:dyDescent="0.25"/>
  <cols>
    <col min="9" max="9" width="104.7109375" bestFit="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-2.4173400000506904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9">
        <v>44876.43801597222</v>
      </c>
      <c r="B3" t="s">
        <v>17</v>
      </c>
      <c r="C3" s="1">
        <v>-1.53999999999999E-7</v>
      </c>
      <c r="D3" s="1">
        <v>8.4640415877995302E-8</v>
      </c>
      <c r="E3" s="1">
        <v>2.8639999999999899E-5</v>
      </c>
      <c r="F3" s="1">
        <v>9.8610344284968306E-7</v>
      </c>
      <c r="G3">
        <v>1591.5</v>
      </c>
      <c r="H3">
        <v>15</v>
      </c>
      <c r="I3" t="s">
        <v>141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9">
        <v>44876.439731805556</v>
      </c>
      <c r="B4" t="s">
        <v>21</v>
      </c>
      <c r="C4">
        <v>9.9999757379999998</v>
      </c>
      <c r="D4" s="1">
        <v>9.3252345834966501E-8</v>
      </c>
      <c r="E4">
        <v>-1.7168000000000001E-4</v>
      </c>
      <c r="F4" s="1">
        <v>8.2437855382099803E-7</v>
      </c>
      <c r="G4">
        <v>1591.5</v>
      </c>
      <c r="H4">
        <v>15</v>
      </c>
      <c r="I4" t="s">
        <v>134</v>
      </c>
      <c r="J4">
        <f t="shared" ref="J4:J30" si="0">C4-C$3</f>
        <v>9.9999758920000001</v>
      </c>
      <c r="K4">
        <f>E4-E$3</f>
        <v>-2.003199999999999E-4</v>
      </c>
      <c r="L4">
        <f>K4*0.000000001/(2*PI()*J4*G4*0.000000000001)</f>
        <v>-2.0032670475200854E-6</v>
      </c>
      <c r="M4">
        <v>10</v>
      </c>
      <c r="N4">
        <f>(J4/M4-1)*1000000</f>
        <v>-2.4107999999634089</v>
      </c>
      <c r="O4">
        <f>N4+P$1</f>
        <v>-4.8281400000140993</v>
      </c>
    </row>
    <row r="5" spans="1:16" x14ac:dyDescent="0.25">
      <c r="A5" s="9">
        <v>44876.440636087966</v>
      </c>
      <c r="B5" t="s">
        <v>23</v>
      </c>
      <c r="C5">
        <v>9.9999782120000003</v>
      </c>
      <c r="D5" s="1">
        <v>8.6579443495980595E-8</v>
      </c>
      <c r="E5">
        <v>-1.4187E-4</v>
      </c>
      <c r="F5" s="1">
        <v>1.2247856955402399E-6</v>
      </c>
      <c r="G5">
        <v>1591.5</v>
      </c>
      <c r="H5">
        <v>15</v>
      </c>
      <c r="J5">
        <f t="shared" si="0"/>
        <v>9.9999783660000006</v>
      </c>
      <c r="K5">
        <f t="shared" ref="K5:K30" si="1">E5-E$3</f>
        <v>-1.7050999999999988E-4</v>
      </c>
      <c r="L5">
        <f t="shared" ref="L5:L30" si="2">K5*0.000000001/(2*PI()*J5*G5*0.000000000001)</f>
        <v>-1.7051566481943943E-6</v>
      </c>
      <c r="M5">
        <v>10</v>
      </c>
      <c r="N5">
        <f t="shared" ref="N5:N30" si="3">(J5/M5-1)*1000000</f>
        <v>-2.1633999999215447</v>
      </c>
      <c r="O5">
        <f t="shared" ref="O5:O30" si="4">N5+P$1</f>
        <v>-4.5807399999722351</v>
      </c>
    </row>
    <row r="6" spans="1:16" x14ac:dyDescent="0.25">
      <c r="A6" s="9">
        <v>44876.441850821757</v>
      </c>
      <c r="B6" t="s">
        <v>24</v>
      </c>
      <c r="C6">
        <v>99.999821580000003</v>
      </c>
      <c r="D6" s="1">
        <v>1.60000003113225E-7</v>
      </c>
      <c r="E6">
        <v>1.7485999999999999E-3</v>
      </c>
      <c r="F6" s="1">
        <v>1.0198039027185299E-6</v>
      </c>
      <c r="G6">
        <v>1591.5</v>
      </c>
      <c r="H6">
        <v>15</v>
      </c>
      <c r="J6">
        <f t="shared" si="0"/>
        <v>99.999821734000008</v>
      </c>
      <c r="K6">
        <f t="shared" si="1"/>
        <v>1.71996E-3</v>
      </c>
      <c r="L6">
        <f t="shared" si="2"/>
        <v>1.720016487004693E-6</v>
      </c>
      <c r="M6">
        <v>100</v>
      </c>
      <c r="N6">
        <f t="shared" si="3"/>
        <v>-1.7826599999493098</v>
      </c>
      <c r="O6">
        <f t="shared" si="4"/>
        <v>-4.2</v>
      </c>
    </row>
    <row r="7" spans="1:16" x14ac:dyDescent="0.25">
      <c r="A7" s="9">
        <v>44876.443166874997</v>
      </c>
      <c r="B7" t="s">
        <v>25</v>
      </c>
      <c r="C7">
        <v>99.999819059999993</v>
      </c>
      <c r="D7" s="1">
        <v>1.2000000353395999E-7</v>
      </c>
      <c r="E7">
        <v>2.1186999999999998E-3</v>
      </c>
      <c r="F7" s="1">
        <v>1.5524174696260199E-6</v>
      </c>
      <c r="G7">
        <v>1591.5</v>
      </c>
      <c r="H7">
        <v>15</v>
      </c>
      <c r="J7">
        <f t="shared" si="0"/>
        <v>99.999819213999999</v>
      </c>
      <c r="K7">
        <f t="shared" si="1"/>
        <v>2.0900599999999999E-3</v>
      </c>
      <c r="L7">
        <f t="shared" si="2"/>
        <v>2.0901286945170948E-6</v>
      </c>
      <c r="M7">
        <v>100</v>
      </c>
      <c r="N7">
        <f t="shared" si="3"/>
        <v>-1.8078600000359657</v>
      </c>
      <c r="O7">
        <f t="shared" si="4"/>
        <v>-4.2252000000866561</v>
      </c>
    </row>
    <row r="8" spans="1:16" x14ac:dyDescent="0.25">
      <c r="A8" s="9">
        <v>44876.444420277781</v>
      </c>
      <c r="B8" t="s">
        <v>26</v>
      </c>
      <c r="C8">
        <v>9.9999758350000008</v>
      </c>
      <c r="D8" s="1">
        <v>8.5819578176593904E-8</v>
      </c>
      <c r="E8">
        <v>-2.6942999999999997E-4</v>
      </c>
      <c r="F8" s="1">
        <v>1.2474373731775E-6</v>
      </c>
      <c r="G8">
        <v>1591.5</v>
      </c>
      <c r="H8">
        <v>15</v>
      </c>
      <c r="I8" t="s">
        <v>142</v>
      </c>
      <c r="J8">
        <f t="shared" si="0"/>
        <v>9.9999759890000011</v>
      </c>
      <c r="K8">
        <f t="shared" si="1"/>
        <v>-2.9806999999999989E-4</v>
      </c>
      <c r="L8">
        <f t="shared" si="2"/>
        <v>-2.9807997357342949E-6</v>
      </c>
      <c r="M8">
        <v>10</v>
      </c>
      <c r="N8">
        <f t="shared" si="3"/>
        <v>-2.4010999999379834</v>
      </c>
      <c r="O8">
        <f t="shared" si="4"/>
        <v>-4.8184399999886738</v>
      </c>
    </row>
    <row r="9" spans="1:16" x14ac:dyDescent="0.25">
      <c r="A9" s="9">
        <v>44876.450974131942</v>
      </c>
      <c r="B9" t="s">
        <v>28</v>
      </c>
      <c r="C9">
        <v>9.9999734629999999</v>
      </c>
      <c r="D9" s="1">
        <v>1.2025389817169499E-7</v>
      </c>
      <c r="E9">
        <v>-2.3338999999999901E-4</v>
      </c>
      <c r="F9" s="1">
        <v>8.3958322994209399E-7</v>
      </c>
      <c r="G9">
        <v>1591.5</v>
      </c>
      <c r="H9">
        <v>15</v>
      </c>
      <c r="J9">
        <f t="shared" si="0"/>
        <v>9.9999736170000002</v>
      </c>
      <c r="K9">
        <f t="shared" si="1"/>
        <v>-2.6202999999999893E-4</v>
      </c>
      <c r="L9">
        <f t="shared" si="2"/>
        <v>-2.6203882981250285E-6</v>
      </c>
      <c r="M9">
        <v>10</v>
      </c>
      <c r="N9">
        <f t="shared" si="3"/>
        <v>-2.6383000000240742</v>
      </c>
      <c r="O9">
        <f t="shared" si="4"/>
        <v>-5.0556400000747646</v>
      </c>
    </row>
    <row r="10" spans="1:16" x14ac:dyDescent="0.25">
      <c r="A10" s="9">
        <v>44876.451904305555</v>
      </c>
      <c r="B10" t="s">
        <v>29</v>
      </c>
      <c r="C10">
        <v>99.99978342</v>
      </c>
      <c r="D10" s="1">
        <v>1.07703298192988E-7</v>
      </c>
      <c r="E10">
        <v>8.0929999999999999E-4</v>
      </c>
      <c r="F10" s="1">
        <v>1.00498756211206E-6</v>
      </c>
      <c r="G10">
        <v>1591.5</v>
      </c>
      <c r="H10">
        <v>15</v>
      </c>
      <c r="J10">
        <f t="shared" si="0"/>
        <v>99.999783574000006</v>
      </c>
      <c r="K10">
        <f t="shared" si="1"/>
        <v>7.8066000000000008E-4</v>
      </c>
      <c r="L10">
        <f t="shared" si="2"/>
        <v>7.806859363815766E-7</v>
      </c>
      <c r="M10">
        <v>100</v>
      </c>
      <c r="N10">
        <f t="shared" si="3"/>
        <v>-2.1642599999927015</v>
      </c>
      <c r="O10">
        <f t="shared" si="4"/>
        <v>-4.5816000000433919</v>
      </c>
    </row>
    <row r="11" spans="1:16" x14ac:dyDescent="0.25">
      <c r="A11" s="9">
        <v>44876.4528440625</v>
      </c>
      <c r="B11" t="s">
        <v>30</v>
      </c>
      <c r="C11">
        <v>99.999862210000003</v>
      </c>
      <c r="D11" s="1">
        <v>1.13578171058483E-7</v>
      </c>
      <c r="E11">
        <v>8.9519999999999997E-4</v>
      </c>
      <c r="F11" s="1">
        <v>8.7177978870812602E-7</v>
      </c>
      <c r="G11">
        <v>1591.5</v>
      </c>
      <c r="H11">
        <v>15</v>
      </c>
      <c r="J11">
        <f t="shared" si="0"/>
        <v>99.999862364000009</v>
      </c>
      <c r="K11">
        <f t="shared" si="1"/>
        <v>8.6656000000000005E-4</v>
      </c>
      <c r="L11">
        <f t="shared" si="2"/>
        <v>8.665881075076307E-7</v>
      </c>
      <c r="M11">
        <v>100</v>
      </c>
      <c r="N11">
        <f t="shared" si="3"/>
        <v>-1.3763599998606324</v>
      </c>
      <c r="O11">
        <f t="shared" si="4"/>
        <v>-3.7936999999113228</v>
      </c>
    </row>
    <row r="12" spans="1:16" x14ac:dyDescent="0.25">
      <c r="A12" s="9">
        <v>44876.454377037036</v>
      </c>
      <c r="B12" t="s">
        <v>31</v>
      </c>
      <c r="C12">
        <v>10.00025288</v>
      </c>
      <c r="D12" s="1">
        <v>1.07703296081876E-7</v>
      </c>
      <c r="E12">
        <v>9.5874999999999997E-4</v>
      </c>
      <c r="F12" s="1">
        <v>9.8818014552004794E-7</v>
      </c>
      <c r="G12">
        <v>1591.5</v>
      </c>
      <c r="H12">
        <v>15</v>
      </c>
      <c r="I12" t="s">
        <v>143</v>
      </c>
      <c r="J12">
        <f t="shared" si="0"/>
        <v>10.000253034</v>
      </c>
      <c r="K12">
        <f t="shared" si="1"/>
        <v>9.3011000000000005E-4</v>
      </c>
      <c r="L12">
        <f t="shared" si="2"/>
        <v>9.3011535350981954E-6</v>
      </c>
      <c r="M12">
        <v>10</v>
      </c>
      <c r="N12">
        <f t="shared" si="3"/>
        <v>25.303399999954124</v>
      </c>
      <c r="O12">
        <f t="shared" si="4"/>
        <v>22.886059999903434</v>
      </c>
    </row>
    <row r="13" spans="1:16" x14ac:dyDescent="0.25">
      <c r="A13" s="9">
        <v>44876.457860219911</v>
      </c>
      <c r="B13" t="s">
        <v>33</v>
      </c>
      <c r="C13">
        <v>100.004349</v>
      </c>
      <c r="D13" s="1">
        <v>1.4210854715202001E-14</v>
      </c>
      <c r="E13">
        <v>9.0892000000000004E-3</v>
      </c>
      <c r="F13" s="1">
        <v>1.7464249196571999E-6</v>
      </c>
      <c r="G13">
        <v>1591.5</v>
      </c>
      <c r="H13">
        <v>15</v>
      </c>
      <c r="J13">
        <f t="shared" si="0"/>
        <v>100.00434915400001</v>
      </c>
      <c r="K13">
        <f t="shared" si="1"/>
        <v>9.0605600000000005E-3</v>
      </c>
      <c r="L13">
        <f t="shared" si="2"/>
        <v>9.0604473620871649E-6</v>
      </c>
      <c r="M13">
        <v>100</v>
      </c>
      <c r="N13">
        <f t="shared" si="3"/>
        <v>43.491540000051288</v>
      </c>
      <c r="O13">
        <f t="shared" si="4"/>
        <v>41.074200000000594</v>
      </c>
    </row>
    <row r="14" spans="1:16" x14ac:dyDescent="0.25">
      <c r="A14" s="9">
        <v>44876.460286909722</v>
      </c>
      <c r="B14" t="s">
        <v>34</v>
      </c>
      <c r="C14">
        <v>1000.03421099999</v>
      </c>
      <c r="D14" s="1">
        <v>2.9999999924257298E-6</v>
      </c>
      <c r="E14">
        <v>0.20650499999999999</v>
      </c>
      <c r="F14" s="1">
        <v>3.6400549446406501E-5</v>
      </c>
      <c r="G14">
        <v>1591.5</v>
      </c>
      <c r="H14">
        <v>1.5</v>
      </c>
      <c r="J14">
        <f t="shared" si="0"/>
        <v>1000.03421115399</v>
      </c>
      <c r="K14">
        <f t="shared" si="1"/>
        <v>0.20647636</v>
      </c>
      <c r="L14">
        <f t="shared" si="2"/>
        <v>2.0647570924450315E-5</v>
      </c>
      <c r="M14">
        <v>1000</v>
      </c>
      <c r="N14">
        <f t="shared" si="3"/>
        <v>34.211153989938126</v>
      </c>
      <c r="O14">
        <f t="shared" si="4"/>
        <v>31.793813989887436</v>
      </c>
    </row>
    <row r="15" spans="1:16" x14ac:dyDescent="0.25">
      <c r="A15" s="9">
        <v>44876.463256608797</v>
      </c>
      <c r="B15" t="s">
        <v>35</v>
      </c>
      <c r="C15">
        <v>1000.006086</v>
      </c>
      <c r="D15">
        <v>3.8517481745349198E-3</v>
      </c>
      <c r="E15">
        <v>0.14921999999999999</v>
      </c>
      <c r="F15">
        <v>0.20974010965954901</v>
      </c>
      <c r="G15">
        <v>1591.5</v>
      </c>
      <c r="H15">
        <v>1.5</v>
      </c>
      <c r="I15" t="s">
        <v>144</v>
      </c>
      <c r="J15">
        <f t="shared" si="0"/>
        <v>1000.0060861539999</v>
      </c>
      <c r="K15">
        <f t="shared" si="1"/>
        <v>0.14919136</v>
      </c>
      <c r="L15">
        <f t="shared" si="2"/>
        <v>1.4919508575897096E-5</v>
      </c>
      <c r="M15">
        <v>1000</v>
      </c>
      <c r="N15">
        <f t="shared" si="3"/>
        <v>6.0861539998846581</v>
      </c>
      <c r="O15">
        <f t="shared" si="4"/>
        <v>3.6688139998339677</v>
      </c>
    </row>
    <row r="16" spans="1:16" x14ac:dyDescent="0.25">
      <c r="A16" s="9">
        <v>44876.465064247684</v>
      </c>
      <c r="B16" t="s">
        <v>36</v>
      </c>
      <c r="C16">
        <v>4.9999693369999996</v>
      </c>
      <c r="D16" s="1">
        <v>5.3674947549756698E-8</v>
      </c>
      <c r="E16">
        <v>2.7002999999999999E-4</v>
      </c>
      <c r="F16" s="1">
        <v>1.1269871339105801E-6</v>
      </c>
      <c r="G16">
        <v>1591.5</v>
      </c>
      <c r="H16">
        <v>15</v>
      </c>
      <c r="J16">
        <f t="shared" si="0"/>
        <v>4.9999694909999999</v>
      </c>
      <c r="K16">
        <f t="shared" si="1"/>
        <v>2.413900000000001E-4</v>
      </c>
      <c r="L16">
        <f t="shared" si="2"/>
        <v>4.8279794075837418E-6</v>
      </c>
      <c r="M16">
        <v>5</v>
      </c>
      <c r="N16">
        <f t="shared" si="3"/>
        <v>-6.1018000000467865</v>
      </c>
      <c r="O16">
        <f t="shared" si="4"/>
        <v>-8.519140000097476</v>
      </c>
    </row>
    <row r="17" spans="1:15" x14ac:dyDescent="0.25">
      <c r="A17" s="9">
        <v>44876.466158391202</v>
      </c>
      <c r="B17" t="s">
        <v>38</v>
      </c>
      <c r="C17">
        <v>5.0001139600000002</v>
      </c>
      <c r="D17" s="1">
        <v>9.5289034051276799E-8</v>
      </c>
      <c r="E17" s="1">
        <v>-8.4770000000000003E-5</v>
      </c>
      <c r="F17" s="1">
        <v>2.26541386947285E-6</v>
      </c>
      <c r="G17">
        <v>1591.5</v>
      </c>
      <c r="H17">
        <v>15</v>
      </c>
      <c r="J17">
        <f t="shared" si="0"/>
        <v>5.0001141140000005</v>
      </c>
      <c r="K17">
        <f t="shared" si="1"/>
        <v>-1.1340999999999991E-4</v>
      </c>
      <c r="L17">
        <f t="shared" si="2"/>
        <v>-2.2682186816642187E-6</v>
      </c>
      <c r="M17">
        <v>5</v>
      </c>
      <c r="N17">
        <f t="shared" si="3"/>
        <v>22.822800000099619</v>
      </c>
      <c r="O17">
        <f t="shared" si="4"/>
        <v>20.405460000048929</v>
      </c>
    </row>
    <row r="18" spans="1:15" x14ac:dyDescent="0.25">
      <c r="A18" s="9">
        <v>44876.467990462967</v>
      </c>
      <c r="B18" t="s">
        <v>40</v>
      </c>
      <c r="C18">
        <v>0.50005346699999997</v>
      </c>
      <c r="D18" s="1">
        <v>1.00801785685777E-7</v>
      </c>
      <c r="E18" s="1">
        <v>7.9380000000000002E-5</v>
      </c>
      <c r="F18" s="1">
        <v>7.9221209281353495E-7</v>
      </c>
      <c r="G18">
        <v>1591.5</v>
      </c>
      <c r="H18">
        <v>15</v>
      </c>
      <c r="J18">
        <f t="shared" si="0"/>
        <v>0.50005362099999995</v>
      </c>
      <c r="K18">
        <f t="shared" si="1"/>
        <v>5.07400000000001E-5</v>
      </c>
      <c r="L18">
        <f t="shared" si="2"/>
        <v>1.0147226981134717E-5</v>
      </c>
      <c r="M18">
        <v>0.5</v>
      </c>
      <c r="N18">
        <f t="shared" si="3"/>
        <v>107.24199999989636</v>
      </c>
      <c r="O18">
        <f t="shared" si="4"/>
        <v>104.82465999984568</v>
      </c>
    </row>
    <row r="19" spans="1:15" x14ac:dyDescent="0.25">
      <c r="A19" s="9">
        <v>44876.469425266201</v>
      </c>
      <c r="B19" t="s">
        <v>42</v>
      </c>
      <c r="C19">
        <v>1000.158925</v>
      </c>
      <c r="D19" s="1">
        <v>8.0622577772972106E-6</v>
      </c>
      <c r="E19">
        <v>0.115094999999999</v>
      </c>
      <c r="F19">
        <v>1.0327148686835001E-4</v>
      </c>
      <c r="G19">
        <v>1591.5</v>
      </c>
      <c r="H19">
        <v>1.5</v>
      </c>
      <c r="I19" t="s">
        <v>145</v>
      </c>
      <c r="J19">
        <f t="shared" si="0"/>
        <v>1000.1589251539999</v>
      </c>
      <c r="K19">
        <f t="shared" si="1"/>
        <v>0.11506635999999901</v>
      </c>
      <c r="L19">
        <f t="shared" si="2"/>
        <v>1.1505164928262315E-5</v>
      </c>
      <c r="M19">
        <v>1000</v>
      </c>
      <c r="N19">
        <f t="shared" si="3"/>
        <v>158.92515399995588</v>
      </c>
      <c r="O19">
        <f t="shared" si="4"/>
        <v>156.50781399990518</v>
      </c>
    </row>
    <row r="20" spans="1:15" x14ac:dyDescent="0.25">
      <c r="A20" s="9">
        <v>44876.472321273148</v>
      </c>
      <c r="B20" t="s">
        <v>44</v>
      </c>
      <c r="C20">
        <v>10.000355109999999</v>
      </c>
      <c r="D20" s="1">
        <v>1.2206555627408301E-7</v>
      </c>
      <c r="E20">
        <v>4.9987000000000002E-4</v>
      </c>
      <c r="F20" s="1">
        <v>1.0545615202537899E-6</v>
      </c>
      <c r="G20">
        <v>1591.5</v>
      </c>
      <c r="H20">
        <v>15</v>
      </c>
      <c r="I20" t="s">
        <v>146</v>
      </c>
      <c r="J20">
        <f t="shared" si="0"/>
        <v>10.000355264</v>
      </c>
      <c r="K20">
        <f t="shared" si="1"/>
        <v>4.7123000000000011E-4</v>
      </c>
      <c r="L20">
        <f t="shared" si="2"/>
        <v>4.7122789505598115E-6</v>
      </c>
      <c r="M20">
        <v>10</v>
      </c>
      <c r="N20">
        <f t="shared" si="3"/>
        <v>35.526400000041036</v>
      </c>
      <c r="O20">
        <f t="shared" si="4"/>
        <v>33.109059999990343</v>
      </c>
    </row>
    <row r="21" spans="1:15" x14ac:dyDescent="0.25">
      <c r="A21" s="9">
        <v>44876.474010509257</v>
      </c>
      <c r="B21" t="s">
        <v>46</v>
      </c>
      <c r="C21">
        <v>10.000094860000001</v>
      </c>
      <c r="D21" s="1">
        <v>1.9078784018529399E-7</v>
      </c>
      <c r="E21">
        <v>5.0670000000000001E-4</v>
      </c>
      <c r="F21" s="1">
        <v>1.1798304963002101E-6</v>
      </c>
      <c r="G21">
        <v>1591.5</v>
      </c>
      <c r="H21">
        <v>15</v>
      </c>
      <c r="J21">
        <f t="shared" si="0"/>
        <v>10.000095014000001</v>
      </c>
      <c r="K21">
        <f t="shared" si="1"/>
        <v>4.780600000000001E-4</v>
      </c>
      <c r="L21">
        <f t="shared" si="2"/>
        <v>4.7807030588467133E-6</v>
      </c>
      <c r="M21">
        <v>10</v>
      </c>
      <c r="N21">
        <f t="shared" si="3"/>
        <v>9.5014000001114596</v>
      </c>
      <c r="O21">
        <f t="shared" si="4"/>
        <v>7.0840600000607692</v>
      </c>
    </row>
    <row r="22" spans="1:15" x14ac:dyDescent="0.25">
      <c r="A22" s="9">
        <v>44876.47477969907</v>
      </c>
      <c r="B22" t="s">
        <v>47</v>
      </c>
      <c r="C22">
        <v>10.00007282</v>
      </c>
      <c r="D22" s="1">
        <v>1.16619037614656E-7</v>
      </c>
      <c r="E22">
        <v>4.9078000000000001E-4</v>
      </c>
      <c r="F22" s="1">
        <v>1.2781236246936201E-6</v>
      </c>
      <c r="G22">
        <v>1591.5</v>
      </c>
      <c r="H22">
        <v>15</v>
      </c>
      <c r="J22">
        <f t="shared" si="0"/>
        <v>10.000072974</v>
      </c>
      <c r="K22">
        <f t="shared" si="1"/>
        <v>4.621400000000001E-4</v>
      </c>
      <c r="L22">
        <f t="shared" si="2"/>
        <v>4.6215098125681882E-6</v>
      </c>
      <c r="M22">
        <v>10</v>
      </c>
      <c r="N22">
        <f t="shared" si="3"/>
        <v>7.2974000000503025</v>
      </c>
      <c r="O22">
        <f t="shared" si="4"/>
        <v>4.8800599999996122</v>
      </c>
    </row>
    <row r="23" spans="1:15" x14ac:dyDescent="0.25">
      <c r="A23" s="9">
        <v>44876.47601997685</v>
      </c>
      <c r="B23" t="s">
        <v>48</v>
      </c>
      <c r="C23">
        <v>10.000167340000001</v>
      </c>
      <c r="D23" s="1">
        <v>1.4966629532096701E-7</v>
      </c>
      <c r="E23">
        <v>5.2322999999999996E-4</v>
      </c>
      <c r="F23" s="1">
        <v>1.83578321160208E-6</v>
      </c>
      <c r="G23">
        <v>1591.5</v>
      </c>
      <c r="H23">
        <v>15</v>
      </c>
      <c r="J23">
        <f t="shared" si="0"/>
        <v>10.000167494000001</v>
      </c>
      <c r="K23">
        <f t="shared" si="1"/>
        <v>4.9459000000000005E-4</v>
      </c>
      <c r="L23">
        <f t="shared" si="2"/>
        <v>4.9459707742826259E-6</v>
      </c>
      <c r="M23">
        <v>10</v>
      </c>
      <c r="N23">
        <f t="shared" si="3"/>
        <v>16.749400000071191</v>
      </c>
      <c r="O23">
        <f t="shared" si="4"/>
        <v>14.332060000020501</v>
      </c>
    </row>
    <row r="24" spans="1:15" x14ac:dyDescent="0.25">
      <c r="A24" s="9">
        <v>44876.479783645831</v>
      </c>
      <c r="B24" t="s">
        <v>49</v>
      </c>
      <c r="C24">
        <v>9.9999669079999993</v>
      </c>
      <c r="D24" s="1">
        <v>1.3302631290952901E-7</v>
      </c>
      <c r="E24">
        <v>4.9339999999999996E-4</v>
      </c>
      <c r="F24" s="1">
        <v>1.5549919613940301E-6</v>
      </c>
      <c r="G24">
        <v>1591.5</v>
      </c>
      <c r="H24">
        <v>15</v>
      </c>
      <c r="J24">
        <f t="shared" si="0"/>
        <v>9.9999670619999996</v>
      </c>
      <c r="K24">
        <f t="shared" si="1"/>
        <v>4.6476000000000004E-4</v>
      </c>
      <c r="L24">
        <f t="shared" si="2"/>
        <v>4.6477596601190306E-6</v>
      </c>
      <c r="M24">
        <v>10</v>
      </c>
      <c r="N24">
        <f t="shared" si="3"/>
        <v>-3.2938000000815038</v>
      </c>
      <c r="O24">
        <f t="shared" si="4"/>
        <v>-5.7111400001321941</v>
      </c>
    </row>
    <row r="25" spans="1:15" x14ac:dyDescent="0.25">
      <c r="A25" s="9">
        <v>44876.480638055553</v>
      </c>
      <c r="B25" t="s">
        <v>50</v>
      </c>
      <c r="C25">
        <v>10.0001739299999</v>
      </c>
      <c r="D25" s="1">
        <v>7.8102496671047499E-8</v>
      </c>
      <c r="E25">
        <v>5.2510999999999996E-4</v>
      </c>
      <c r="F25" s="1">
        <v>1.6410057891427401E-6</v>
      </c>
      <c r="G25">
        <v>1591.5</v>
      </c>
      <c r="H25">
        <v>15</v>
      </c>
      <c r="J25">
        <f t="shared" si="0"/>
        <v>10.0001740839999</v>
      </c>
      <c r="K25">
        <f t="shared" si="1"/>
        <v>4.9647000000000005E-4</v>
      </c>
      <c r="L25">
        <f t="shared" si="2"/>
        <v>4.9647677715776362E-6</v>
      </c>
      <c r="M25">
        <v>10</v>
      </c>
      <c r="N25">
        <f t="shared" si="3"/>
        <v>17.408399989982115</v>
      </c>
      <c r="O25">
        <f t="shared" si="4"/>
        <v>14.991059989931426</v>
      </c>
    </row>
    <row r="26" spans="1:15" x14ac:dyDescent="0.25">
      <c r="A26" s="9">
        <v>44876.481443182871</v>
      </c>
      <c r="B26" t="s">
        <v>51</v>
      </c>
      <c r="C26">
        <v>10.000297799999901</v>
      </c>
      <c r="D26" s="1">
        <v>1.7320508083237699E-7</v>
      </c>
      <c r="E26">
        <v>5.1375999999999896E-4</v>
      </c>
      <c r="F26" s="1">
        <v>6.9455021416741703E-7</v>
      </c>
      <c r="G26">
        <v>1591.5</v>
      </c>
      <c r="H26">
        <v>15</v>
      </c>
      <c r="J26">
        <f t="shared" si="0"/>
        <v>10.000297953999901</v>
      </c>
      <c r="K26">
        <f t="shared" si="1"/>
        <v>4.8511999999999904E-4</v>
      </c>
      <c r="L26">
        <f t="shared" si="2"/>
        <v>4.8512061313801142E-6</v>
      </c>
      <c r="M26">
        <v>10</v>
      </c>
      <c r="N26">
        <f t="shared" si="3"/>
        <v>29.795399990151239</v>
      </c>
      <c r="O26">
        <f t="shared" si="4"/>
        <v>27.378059990100549</v>
      </c>
    </row>
    <row r="27" spans="1:15" x14ac:dyDescent="0.25">
      <c r="A27" s="9">
        <v>44876.482476898149</v>
      </c>
      <c r="B27" t="s">
        <v>53</v>
      </c>
      <c r="C27">
        <v>10.000208450000001</v>
      </c>
      <c r="D27" s="1">
        <v>1.2845232576657599E-7</v>
      </c>
      <c r="E27">
        <v>5.1241999999999998E-4</v>
      </c>
      <c r="F27" s="1">
        <v>1.1737120600897201E-6</v>
      </c>
      <c r="G27">
        <v>1591.5</v>
      </c>
      <c r="H27">
        <v>15</v>
      </c>
      <c r="J27">
        <f t="shared" si="0"/>
        <v>10.000208604000001</v>
      </c>
      <c r="K27">
        <f t="shared" si="1"/>
        <v>4.8378000000000006E-4</v>
      </c>
      <c r="L27">
        <f t="shared" si="2"/>
        <v>4.8378493393399033E-6</v>
      </c>
      <c r="M27">
        <v>10</v>
      </c>
      <c r="N27">
        <f t="shared" si="3"/>
        <v>20.860400000044521</v>
      </c>
      <c r="O27">
        <f t="shared" si="4"/>
        <v>18.443059999993832</v>
      </c>
    </row>
    <row r="28" spans="1:15" x14ac:dyDescent="0.25">
      <c r="A28" s="9">
        <v>44876.483300925924</v>
      </c>
      <c r="B28" t="s">
        <v>54</v>
      </c>
      <c r="C28">
        <v>10.000334599999899</v>
      </c>
      <c r="D28" s="1">
        <v>7.7459667141369498E-8</v>
      </c>
      <c r="E28">
        <v>5.1795999999999895E-4</v>
      </c>
      <c r="F28" s="1">
        <v>1.17830386573243E-6</v>
      </c>
      <c r="G28">
        <v>1591.5</v>
      </c>
      <c r="H28">
        <v>15</v>
      </c>
      <c r="J28">
        <f t="shared" si="0"/>
        <v>10.000334753999899</v>
      </c>
      <c r="K28">
        <f t="shared" si="1"/>
        <v>4.8931999999999904E-4</v>
      </c>
      <c r="L28">
        <f t="shared" si="2"/>
        <v>4.8931881780674824E-6</v>
      </c>
      <c r="M28">
        <v>10</v>
      </c>
      <c r="N28">
        <f t="shared" si="3"/>
        <v>33.475399989990606</v>
      </c>
      <c r="O28">
        <f t="shared" si="4"/>
        <v>31.058059989939917</v>
      </c>
    </row>
    <row r="29" spans="1:15" x14ac:dyDescent="0.25">
      <c r="A29" s="9">
        <v>44876.48420752315</v>
      </c>
      <c r="B29" t="s">
        <v>55</v>
      </c>
      <c r="C29">
        <v>10.00039686</v>
      </c>
      <c r="D29" s="1">
        <v>6.6332495403974097E-8</v>
      </c>
      <c r="E29">
        <v>5.0862999999999896E-4</v>
      </c>
      <c r="F29" s="1">
        <v>4.0012498047485098E-7</v>
      </c>
      <c r="G29">
        <v>1591.5</v>
      </c>
      <c r="H29">
        <v>15</v>
      </c>
      <c r="J29">
        <f t="shared" si="0"/>
        <v>10.000397014000001</v>
      </c>
      <c r="K29">
        <f t="shared" si="1"/>
        <v>4.7998999999999904E-4</v>
      </c>
      <c r="L29">
        <f t="shared" si="2"/>
        <v>4.7998585205606882E-6</v>
      </c>
      <c r="M29">
        <v>10</v>
      </c>
      <c r="N29">
        <f t="shared" si="3"/>
        <v>39.70139999998068</v>
      </c>
      <c r="O29">
        <f t="shared" si="4"/>
        <v>37.284059999929987</v>
      </c>
    </row>
    <row r="30" spans="1:15" x14ac:dyDescent="0.25">
      <c r="A30" s="9">
        <v>44876.484998425927</v>
      </c>
      <c r="B30" t="s">
        <v>56</v>
      </c>
      <c r="C30">
        <v>10.00020374</v>
      </c>
      <c r="D30" s="1">
        <v>1.2806248455294301E-7</v>
      </c>
      <c r="E30">
        <v>5.0235999999999998E-4</v>
      </c>
      <c r="F30" s="1">
        <v>7.6052613367326297E-7</v>
      </c>
      <c r="G30">
        <v>1591.5</v>
      </c>
      <c r="H30">
        <v>15</v>
      </c>
      <c r="I30" t="s">
        <v>147</v>
      </c>
      <c r="J30">
        <f t="shared" si="0"/>
        <v>10.000203894</v>
      </c>
      <c r="K30">
        <f t="shared" si="1"/>
        <v>4.7372000000000007E-4</v>
      </c>
      <c r="L30">
        <f t="shared" si="2"/>
        <v>4.7372505445477107E-6</v>
      </c>
      <c r="M30">
        <v>10</v>
      </c>
      <c r="N30">
        <f t="shared" si="3"/>
        <v>20.389399999931612</v>
      </c>
      <c r="O30">
        <f t="shared" si="4"/>
        <v>17.972059999880923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102C-6D62-482C-BBEE-B0C385015CDD}">
  <dimension ref="A1:P30"/>
  <sheetViews>
    <sheetView workbookViewId="0">
      <selection activeCell="A6" sqref="A6"/>
    </sheetView>
  </sheetViews>
  <sheetFormatPr defaultRowHeight="15" x14ac:dyDescent="0.25"/>
  <cols>
    <col min="1" max="1" width="14.85546875" bestFit="1" customWidth="1"/>
    <col min="9" max="9" width="104.7109375" bestFit="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-2.4173700000531726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2">
        <v>44942.031087962961</v>
      </c>
      <c r="B3" t="s">
        <v>17</v>
      </c>
      <c r="C3" s="1">
        <v>-1.2700000000000001E-7</v>
      </c>
      <c r="D3" s="1">
        <v>9.1199999999999996E-8</v>
      </c>
      <c r="E3" s="1">
        <v>2.7100000000000001E-5</v>
      </c>
      <c r="F3" s="1">
        <v>5.37E-7</v>
      </c>
      <c r="G3">
        <v>1591.5</v>
      </c>
      <c r="H3">
        <v>15</v>
      </c>
      <c r="I3" t="s">
        <v>148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2">
        <v>44942.035196759258</v>
      </c>
      <c r="B4" t="s">
        <v>21</v>
      </c>
      <c r="C4">
        <v>9.9999759489999995</v>
      </c>
      <c r="D4" s="1">
        <v>7.8499999999999995E-8</v>
      </c>
      <c r="E4">
        <v>-1.739E-4</v>
      </c>
      <c r="F4" s="1">
        <v>1.35E-6</v>
      </c>
      <c r="G4">
        <v>1591.5</v>
      </c>
      <c r="H4">
        <v>15</v>
      </c>
      <c r="I4" t="s">
        <v>149</v>
      </c>
      <c r="J4">
        <f t="shared" ref="J4:J30" si="0">C4-C$3</f>
        <v>9.9999760759999994</v>
      </c>
      <c r="K4">
        <f>E4-E$3</f>
        <v>-2.0100000000000001E-4</v>
      </c>
      <c r="L4">
        <f>K4*0.000000001/(2*PI()*J4*G4*0.000000000001)</f>
        <v>-2.0100672381321723E-6</v>
      </c>
      <c r="M4">
        <v>10</v>
      </c>
      <c r="N4">
        <f>(J4/M4-1)*1000000</f>
        <v>-2.3924000001063206</v>
      </c>
      <c r="O4">
        <f>N4+P$1</f>
        <v>-4.8097700001594932</v>
      </c>
    </row>
    <row r="5" spans="1:16" x14ac:dyDescent="0.25">
      <c r="A5" s="2">
        <v>44942.037766203706</v>
      </c>
      <c r="B5" t="s">
        <v>23</v>
      </c>
      <c r="C5">
        <v>9.9999784540000007</v>
      </c>
      <c r="D5" s="1">
        <v>1.1000000000000001E-7</v>
      </c>
      <c r="E5">
        <v>-1.5702000000000001E-4</v>
      </c>
      <c r="F5" s="1">
        <v>9.9800000000000002E-7</v>
      </c>
      <c r="G5">
        <v>1591.5</v>
      </c>
      <c r="H5">
        <v>15</v>
      </c>
      <c r="J5">
        <f t="shared" si="0"/>
        <v>9.9999785810000006</v>
      </c>
      <c r="K5">
        <f t="shared" ref="K5:K30" si="1">E5-E$3</f>
        <v>-1.8412000000000002E-4</v>
      </c>
      <c r="L5">
        <f t="shared" ref="L5:L30" si="2">K5*0.000000001/(2*PI()*J5*G5*0.000000000001)</f>
        <v>-1.8412611302301256E-6</v>
      </c>
      <c r="M5">
        <v>10</v>
      </c>
      <c r="N5">
        <f t="shared" ref="N5:N30" si="3">(J5/M5-1)*1000000</f>
        <v>-2.1418999999189836</v>
      </c>
      <c r="O5">
        <f t="shared" ref="O5:O30" si="4">N5+P$1</f>
        <v>-4.5592699999721562</v>
      </c>
    </row>
    <row r="6" spans="1:16" x14ac:dyDescent="0.25">
      <c r="A6" s="2">
        <v>44942.038923611108</v>
      </c>
      <c r="B6" t="s">
        <v>24</v>
      </c>
      <c r="C6">
        <v>99.999821609999998</v>
      </c>
      <c r="D6" s="1">
        <v>1.04E-7</v>
      </c>
      <c r="E6">
        <v>1.7351999999999999E-3</v>
      </c>
      <c r="F6" s="1">
        <v>1.4699999999999999E-6</v>
      </c>
      <c r="G6">
        <v>1591.5</v>
      </c>
      <c r="H6">
        <v>15</v>
      </c>
      <c r="J6">
        <f t="shared" si="0"/>
        <v>99.999821737000005</v>
      </c>
      <c r="K6">
        <f t="shared" si="1"/>
        <v>1.7080999999999999E-3</v>
      </c>
      <c r="L6">
        <f t="shared" si="2"/>
        <v>1.708156097446788E-6</v>
      </c>
      <c r="M6">
        <v>100</v>
      </c>
      <c r="N6">
        <f t="shared" si="3"/>
        <v>-1.7826299999468276</v>
      </c>
      <c r="O6">
        <f t="shared" si="4"/>
        <v>-4.2</v>
      </c>
    </row>
    <row r="7" spans="1:16" x14ac:dyDescent="0.25">
      <c r="A7" s="2">
        <v>44942.039976851855</v>
      </c>
      <c r="B7" t="s">
        <v>25</v>
      </c>
      <c r="C7">
        <v>99.999820869999994</v>
      </c>
      <c r="D7" s="1">
        <v>1.1000000000000001E-7</v>
      </c>
      <c r="E7">
        <v>2.1017000000000002E-3</v>
      </c>
      <c r="F7" s="1">
        <v>1.35E-6</v>
      </c>
      <c r="G7">
        <v>1591.5</v>
      </c>
      <c r="H7">
        <v>15</v>
      </c>
      <c r="J7">
        <f t="shared" si="0"/>
        <v>99.999820997</v>
      </c>
      <c r="K7">
        <f t="shared" si="1"/>
        <v>2.0746000000000002E-3</v>
      </c>
      <c r="L7">
        <f t="shared" si="2"/>
        <v>2.074668149398065E-6</v>
      </c>
      <c r="M7">
        <v>100</v>
      </c>
      <c r="N7">
        <f t="shared" si="3"/>
        <v>-1.7900300000039948</v>
      </c>
      <c r="O7">
        <f t="shared" si="4"/>
        <v>-4.2074000000571674</v>
      </c>
    </row>
    <row r="8" spans="1:16" x14ac:dyDescent="0.25">
      <c r="A8" s="2">
        <v>44942.000462962962</v>
      </c>
      <c r="B8" t="s">
        <v>26</v>
      </c>
      <c r="C8">
        <v>9.9999760650000002</v>
      </c>
      <c r="D8" s="1">
        <v>6.7000000000000004E-8</v>
      </c>
      <c r="E8">
        <v>-2.8528000000000001E-4</v>
      </c>
      <c r="F8" s="1">
        <v>9.7900000000000007E-7</v>
      </c>
      <c r="G8">
        <v>1591.5</v>
      </c>
      <c r="H8">
        <v>15</v>
      </c>
      <c r="I8" t="s">
        <v>150</v>
      </c>
      <c r="J8">
        <f t="shared" si="0"/>
        <v>9.9999761920000001</v>
      </c>
      <c r="K8">
        <f t="shared" si="1"/>
        <v>-3.1238000000000001E-4</v>
      </c>
      <c r="L8">
        <f t="shared" si="2"/>
        <v>-3.1239044605174871E-6</v>
      </c>
      <c r="M8">
        <v>10</v>
      </c>
      <c r="N8">
        <f t="shared" si="3"/>
        <v>-2.3808000000347107</v>
      </c>
      <c r="O8">
        <f t="shared" si="4"/>
        <v>-4.7981700000878833</v>
      </c>
    </row>
    <row r="9" spans="1:16" x14ac:dyDescent="0.25">
      <c r="A9" s="2">
        <v>44942.002222222225</v>
      </c>
      <c r="B9" t="s">
        <v>28</v>
      </c>
      <c r="C9">
        <v>9.9999738709999999</v>
      </c>
      <c r="D9" s="1">
        <v>4.4999999999999999E-8</v>
      </c>
      <c r="E9">
        <v>-2.4863000000000001E-4</v>
      </c>
      <c r="F9" s="1">
        <v>8.2200000000000003E-7</v>
      </c>
      <c r="G9">
        <v>1591.5</v>
      </c>
      <c r="H9">
        <v>15</v>
      </c>
      <c r="J9">
        <f t="shared" si="0"/>
        <v>9.9999739979999998</v>
      </c>
      <c r="K9">
        <f t="shared" si="1"/>
        <v>-2.7573000000000002E-4</v>
      </c>
      <c r="L9">
        <f t="shared" si="2"/>
        <v>-2.7573928096551784E-6</v>
      </c>
      <c r="M9">
        <v>10</v>
      </c>
      <c r="N9">
        <f t="shared" si="3"/>
        <v>-2.6001999999802905</v>
      </c>
      <c r="O9">
        <f t="shared" si="4"/>
        <v>-5.0175700000334631</v>
      </c>
    </row>
    <row r="10" spans="1:16" x14ac:dyDescent="0.25">
      <c r="A10" s="2">
        <v>44942.003564814811</v>
      </c>
      <c r="B10" t="s">
        <v>29</v>
      </c>
      <c r="C10">
        <v>99.999785349999996</v>
      </c>
      <c r="D10" s="1">
        <v>1.02E-7</v>
      </c>
      <c r="E10">
        <v>7.8180000000000003E-4</v>
      </c>
      <c r="F10" s="1">
        <v>8.7199999999999997E-7</v>
      </c>
      <c r="G10">
        <v>1591.5</v>
      </c>
      <c r="H10">
        <v>15</v>
      </c>
      <c r="J10">
        <f t="shared" si="0"/>
        <v>99.999785477000003</v>
      </c>
      <c r="K10">
        <f t="shared" si="1"/>
        <v>7.5470000000000008E-4</v>
      </c>
      <c r="L10">
        <f t="shared" si="2"/>
        <v>7.5472505953294202E-7</v>
      </c>
      <c r="M10">
        <v>100</v>
      </c>
      <c r="N10">
        <f t="shared" si="3"/>
        <v>-2.1452299999724644</v>
      </c>
      <c r="O10">
        <f t="shared" si="4"/>
        <v>-4.562600000025637</v>
      </c>
    </row>
    <row r="11" spans="1:16" x14ac:dyDescent="0.25">
      <c r="A11" s="2">
        <v>44942.004571759258</v>
      </c>
      <c r="B11" t="s">
        <v>30</v>
      </c>
      <c r="C11">
        <v>99.999868079999999</v>
      </c>
      <c r="D11" s="1">
        <v>9.8000000000000004E-8</v>
      </c>
      <c r="E11">
        <v>8.7040000000000001E-4</v>
      </c>
      <c r="F11" s="1">
        <v>1.7999999999999999E-6</v>
      </c>
      <c r="G11">
        <v>1591.5</v>
      </c>
      <c r="H11">
        <v>15</v>
      </c>
      <c r="J11">
        <f t="shared" si="0"/>
        <v>99.999868207000006</v>
      </c>
      <c r="K11">
        <f t="shared" si="1"/>
        <v>8.4330000000000006E-4</v>
      </c>
      <c r="L11">
        <f t="shared" si="2"/>
        <v>8.433273037768302E-7</v>
      </c>
      <c r="M11">
        <v>100</v>
      </c>
      <c r="N11">
        <f t="shared" si="3"/>
        <v>-1.3179299999110938</v>
      </c>
      <c r="O11">
        <f t="shared" si="4"/>
        <v>-3.7352999999642664</v>
      </c>
    </row>
    <row r="12" spans="1:16" x14ac:dyDescent="0.25">
      <c r="A12" s="2">
        <v>44942.006944444445</v>
      </c>
      <c r="B12" t="s">
        <v>31</v>
      </c>
      <c r="C12">
        <v>10.00020001</v>
      </c>
      <c r="D12" s="1">
        <v>9.4300000000000004E-8</v>
      </c>
      <c r="E12">
        <v>1.0022E-3</v>
      </c>
      <c r="F12" s="1">
        <v>1.31E-6</v>
      </c>
      <c r="G12">
        <v>1591.5</v>
      </c>
      <c r="H12">
        <v>15</v>
      </c>
      <c r="I12" t="s">
        <v>151</v>
      </c>
      <c r="J12">
        <f t="shared" si="0"/>
        <v>10.000200137</v>
      </c>
      <c r="K12">
        <f t="shared" si="1"/>
        <v>9.7510000000000001E-4</v>
      </c>
      <c r="L12">
        <f t="shared" si="2"/>
        <v>9.7511077037535292E-6</v>
      </c>
      <c r="M12">
        <v>10</v>
      </c>
      <c r="N12">
        <f t="shared" si="3"/>
        <v>20.0136999999323</v>
      </c>
      <c r="O12">
        <f t="shared" si="4"/>
        <v>17.596329999879128</v>
      </c>
    </row>
    <row r="13" spans="1:16" x14ac:dyDescent="0.25">
      <c r="A13" s="2">
        <v>44942.009675925925</v>
      </c>
      <c r="B13" t="s">
        <v>33</v>
      </c>
      <c r="C13">
        <v>100.0040837</v>
      </c>
      <c r="D13" s="1">
        <v>4.58E-7</v>
      </c>
      <c r="E13">
        <v>9.1541999999999995E-3</v>
      </c>
      <c r="F13" s="1">
        <v>7.9400000000000002E-6</v>
      </c>
      <c r="G13">
        <v>1591.5</v>
      </c>
      <c r="H13">
        <v>15</v>
      </c>
      <c r="J13">
        <f t="shared" si="0"/>
        <v>100.004083827</v>
      </c>
      <c r="K13">
        <f t="shared" si="1"/>
        <v>9.1270999999999991E-3</v>
      </c>
      <c r="L13">
        <f t="shared" si="2"/>
        <v>9.1270107502543389E-6</v>
      </c>
      <c r="M13">
        <v>100</v>
      </c>
      <c r="N13">
        <f t="shared" si="3"/>
        <v>40.838270000120858</v>
      </c>
      <c r="O13">
        <f t="shared" si="4"/>
        <v>38.420900000067682</v>
      </c>
    </row>
    <row r="14" spans="1:16" x14ac:dyDescent="0.25">
      <c r="A14" s="2">
        <v>44942.013148148151</v>
      </c>
      <c r="B14" t="s">
        <v>34</v>
      </c>
      <c r="C14">
        <v>1000.032268</v>
      </c>
      <c r="D14" s="1">
        <v>3.9999999999999998E-6</v>
      </c>
      <c r="E14">
        <v>0.207898</v>
      </c>
      <c r="F14" s="1">
        <v>2.09E-5</v>
      </c>
      <c r="G14">
        <v>1591.5</v>
      </c>
      <c r="H14">
        <v>1.5</v>
      </c>
      <c r="J14">
        <f t="shared" si="0"/>
        <v>1000.0322681270001</v>
      </c>
      <c r="K14">
        <f t="shared" si="1"/>
        <v>0.2078709</v>
      </c>
      <c r="L14">
        <f t="shared" si="2"/>
        <v>2.0787064873376828E-5</v>
      </c>
      <c r="M14">
        <v>1000</v>
      </c>
      <c r="N14">
        <f t="shared" si="3"/>
        <v>32.268126999968061</v>
      </c>
      <c r="O14">
        <f t="shared" si="4"/>
        <v>29.850756999914889</v>
      </c>
    </row>
    <row r="15" spans="1:16" x14ac:dyDescent="0.25">
      <c r="A15" s="2">
        <v>44942.014594907407</v>
      </c>
      <c r="B15" t="s">
        <v>35</v>
      </c>
      <c r="C15">
        <v>1000.015883</v>
      </c>
      <c r="D15">
        <v>1.32669E-4</v>
      </c>
      <c r="E15">
        <v>0.213619</v>
      </c>
      <c r="F15" s="1">
        <v>5.8E-5</v>
      </c>
      <c r="G15">
        <v>1591.5</v>
      </c>
      <c r="H15">
        <v>1.5</v>
      </c>
      <c r="J15">
        <f t="shared" si="0"/>
        <v>1000.0158831270001</v>
      </c>
      <c r="K15">
        <f t="shared" si="1"/>
        <v>0.2135919</v>
      </c>
      <c r="L15">
        <f t="shared" si="2"/>
        <v>2.1359514146191266E-5</v>
      </c>
      <c r="M15">
        <v>1000</v>
      </c>
      <c r="N15">
        <f t="shared" si="3"/>
        <v>15.88312700007144</v>
      </c>
      <c r="O15">
        <f t="shared" si="4"/>
        <v>13.465757000018268</v>
      </c>
    </row>
    <row r="16" spans="1:16" x14ac:dyDescent="0.25">
      <c r="A16" s="2">
        <v>44942.018067129633</v>
      </c>
      <c r="B16" t="s">
        <v>36</v>
      </c>
      <c r="C16">
        <v>4.9999542300000002</v>
      </c>
      <c r="D16" s="1">
        <v>7.9399999999999996E-8</v>
      </c>
      <c r="E16">
        <v>2.6640000000000002E-4</v>
      </c>
      <c r="F16" s="1">
        <v>9.8899999999999998E-7</v>
      </c>
      <c r="G16">
        <v>1591.5</v>
      </c>
      <c r="H16">
        <v>15</v>
      </c>
      <c r="J16">
        <f t="shared" si="0"/>
        <v>4.999954357</v>
      </c>
      <c r="K16">
        <f t="shared" si="1"/>
        <v>2.3930000000000002E-4</v>
      </c>
      <c r="L16">
        <f t="shared" si="2"/>
        <v>4.7861923411745278E-6</v>
      </c>
      <c r="M16">
        <v>5</v>
      </c>
      <c r="N16">
        <f t="shared" si="3"/>
        <v>-9.128600000019027</v>
      </c>
      <c r="O16">
        <f t="shared" si="4"/>
        <v>-11.545970000072199</v>
      </c>
    </row>
    <row r="17" spans="1:15" x14ac:dyDescent="0.25">
      <c r="A17" s="2">
        <v>44942.020462962966</v>
      </c>
      <c r="B17" t="s">
        <v>38</v>
      </c>
      <c r="C17">
        <v>5.0001049709999998</v>
      </c>
      <c r="D17" s="1">
        <v>7.9199999999999995E-8</v>
      </c>
      <c r="E17">
        <v>2.4813E-4</v>
      </c>
      <c r="F17" s="1">
        <v>1.0699999999999999E-6</v>
      </c>
      <c r="G17">
        <v>1591.5</v>
      </c>
      <c r="H17">
        <v>15</v>
      </c>
      <c r="J17">
        <f t="shared" si="0"/>
        <v>5.0001050979999997</v>
      </c>
      <c r="K17">
        <f t="shared" si="1"/>
        <v>2.2102999999999999E-4</v>
      </c>
      <c r="L17">
        <f t="shared" si="2"/>
        <v>4.4206443806844036E-6</v>
      </c>
      <c r="M17">
        <v>5</v>
      </c>
      <c r="N17">
        <f t="shared" si="3"/>
        <v>21.019599999894112</v>
      </c>
      <c r="O17">
        <f t="shared" si="4"/>
        <v>18.60222999984094</v>
      </c>
    </row>
    <row r="18" spans="1:15" x14ac:dyDescent="0.25">
      <c r="A18" s="2">
        <v>44942.023194444446</v>
      </c>
      <c r="B18" t="s">
        <v>40</v>
      </c>
      <c r="C18">
        <v>0.50005169000000005</v>
      </c>
      <c r="D18" s="1">
        <v>7.2699999999999996E-8</v>
      </c>
      <c r="E18" s="1">
        <v>7.6899999999999999E-5</v>
      </c>
      <c r="F18" s="1">
        <v>1.1799999999999999E-6</v>
      </c>
      <c r="G18">
        <v>1591.5</v>
      </c>
      <c r="H18">
        <v>15</v>
      </c>
      <c r="J18">
        <f t="shared" si="0"/>
        <v>0.50005181700000001</v>
      </c>
      <c r="K18">
        <f t="shared" si="1"/>
        <v>4.9799999999999998E-5</v>
      </c>
      <c r="L18">
        <f t="shared" si="2"/>
        <v>9.9592772311605515E-6</v>
      </c>
      <c r="M18">
        <v>0.5</v>
      </c>
      <c r="N18">
        <f t="shared" si="3"/>
        <v>103.6340000000191</v>
      </c>
      <c r="O18">
        <f t="shared" si="4"/>
        <v>101.21662999996593</v>
      </c>
    </row>
    <row r="19" spans="1:15" x14ac:dyDescent="0.25">
      <c r="A19" s="2">
        <v>44942.024594907409</v>
      </c>
      <c r="B19" t="s">
        <v>42</v>
      </c>
      <c r="C19">
        <v>1000.171399</v>
      </c>
      <c r="D19" s="1">
        <v>3.0000000000000001E-6</v>
      </c>
      <c r="E19">
        <v>0.126911</v>
      </c>
      <c r="F19" s="1">
        <v>2.02E-5</v>
      </c>
      <c r="G19">
        <v>1591.5</v>
      </c>
      <c r="H19">
        <v>1.5</v>
      </c>
      <c r="I19" t="s">
        <v>152</v>
      </c>
      <c r="J19">
        <f t="shared" si="0"/>
        <v>1000.171399127</v>
      </c>
      <c r="K19">
        <f t="shared" si="1"/>
        <v>0.12688389999999999</v>
      </c>
      <c r="L19">
        <f t="shared" si="2"/>
        <v>1.2686609619041085E-5</v>
      </c>
      <c r="M19">
        <v>1000</v>
      </c>
      <c r="N19">
        <f t="shared" si="3"/>
        <v>171.39912700003811</v>
      </c>
      <c r="O19">
        <f t="shared" si="4"/>
        <v>168.98175699998492</v>
      </c>
    </row>
    <row r="20" spans="1:15" x14ac:dyDescent="0.25">
      <c r="A20" s="2">
        <v>44942.02747685185</v>
      </c>
      <c r="B20" t="s">
        <v>44</v>
      </c>
      <c r="C20">
        <v>10.000372690000001</v>
      </c>
      <c r="D20" s="1">
        <v>8.3099999999999996E-8</v>
      </c>
      <c r="E20">
        <v>5.1259000000000005E-4</v>
      </c>
      <c r="F20" s="1">
        <v>1.2500000000000001E-6</v>
      </c>
      <c r="G20">
        <v>1591.5</v>
      </c>
      <c r="H20">
        <v>15</v>
      </c>
      <c r="I20" t="s">
        <v>153</v>
      </c>
      <c r="J20">
        <f t="shared" si="0"/>
        <v>10.000372817000001</v>
      </c>
      <c r="K20">
        <f t="shared" si="1"/>
        <v>4.8549000000000004E-4</v>
      </c>
      <c r="L20">
        <f t="shared" si="2"/>
        <v>4.8548697921276237E-6</v>
      </c>
      <c r="M20">
        <v>10</v>
      </c>
      <c r="N20">
        <f t="shared" si="3"/>
        <v>37.281700000058038</v>
      </c>
      <c r="O20">
        <f t="shared" si="4"/>
        <v>34.864330000004863</v>
      </c>
    </row>
    <row r="21" spans="1:15" x14ac:dyDescent="0.25">
      <c r="A21" s="2">
        <v>44942.031099537038</v>
      </c>
      <c r="B21" t="s">
        <v>46</v>
      </c>
      <c r="C21">
        <v>10.000112809999999</v>
      </c>
      <c r="D21" s="1">
        <v>1.04E-7</v>
      </c>
      <c r="E21">
        <v>5.1856999999999999E-4</v>
      </c>
      <c r="F21" s="1">
        <v>1.4699999999999999E-6</v>
      </c>
      <c r="G21">
        <v>1591.5</v>
      </c>
      <c r="H21">
        <v>15</v>
      </c>
      <c r="J21">
        <f t="shared" si="0"/>
        <v>10.000112936999999</v>
      </c>
      <c r="K21">
        <f t="shared" si="1"/>
        <v>4.9147000000000004E-4</v>
      </c>
      <c r="L21">
        <f t="shared" si="2"/>
        <v>4.914797141030038E-6</v>
      </c>
      <c r="M21">
        <v>10</v>
      </c>
      <c r="N21">
        <f t="shared" si="3"/>
        <v>11.293699999859186</v>
      </c>
      <c r="O21">
        <f t="shared" si="4"/>
        <v>8.8763299998060141</v>
      </c>
    </row>
    <row r="22" spans="1:15" x14ac:dyDescent="0.25">
      <c r="A22" s="2">
        <v>44942.03193287037</v>
      </c>
      <c r="B22" t="s">
        <v>47</v>
      </c>
      <c r="C22">
        <v>10.00009043</v>
      </c>
      <c r="D22" s="1">
        <v>1.42E-7</v>
      </c>
      <c r="E22">
        <v>5.0186999999999996E-4</v>
      </c>
      <c r="F22" s="1">
        <v>1.5400000000000001E-6</v>
      </c>
      <c r="G22">
        <v>1591.5</v>
      </c>
      <c r="H22">
        <v>15</v>
      </c>
      <c r="J22">
        <f t="shared" si="0"/>
        <v>10.000090557</v>
      </c>
      <c r="K22">
        <f t="shared" si="1"/>
        <v>4.7476999999999996E-4</v>
      </c>
      <c r="L22">
        <f t="shared" si="2"/>
        <v>4.7478044656739969E-6</v>
      </c>
      <c r="M22">
        <v>10</v>
      </c>
      <c r="N22">
        <f t="shared" si="3"/>
        <v>9.0557000000934806</v>
      </c>
      <c r="O22">
        <f t="shared" si="4"/>
        <v>6.638330000040308</v>
      </c>
    </row>
    <row r="23" spans="1:15" x14ac:dyDescent="0.25">
      <c r="A23" s="2">
        <v>44942.033148148148</v>
      </c>
      <c r="B23" t="s">
        <v>48</v>
      </c>
      <c r="C23">
        <v>10.00018487</v>
      </c>
      <c r="D23" s="1">
        <v>1.55E-7</v>
      </c>
      <c r="E23">
        <v>5.3527999999999996E-4</v>
      </c>
      <c r="F23" s="1">
        <v>1.0899999999999999E-6</v>
      </c>
      <c r="G23">
        <v>1591.5</v>
      </c>
      <c r="H23">
        <v>15</v>
      </c>
      <c r="J23">
        <f t="shared" si="0"/>
        <v>10.000184997</v>
      </c>
      <c r="K23">
        <f t="shared" si="1"/>
        <v>5.0818E-4</v>
      </c>
      <c r="L23">
        <f t="shared" si="2"/>
        <v>5.0818638243318638E-6</v>
      </c>
      <c r="M23">
        <v>10</v>
      </c>
      <c r="N23">
        <f t="shared" si="3"/>
        <v>18.499699999896535</v>
      </c>
      <c r="O23">
        <f t="shared" si="4"/>
        <v>16.082329999843363</v>
      </c>
    </row>
    <row r="24" spans="1:15" x14ac:dyDescent="0.25">
      <c r="A24" s="2">
        <v>44942.034502314818</v>
      </c>
      <c r="B24" t="s">
        <v>49</v>
      </c>
      <c r="C24">
        <v>9.9999817590000006</v>
      </c>
      <c r="D24" s="1">
        <v>1.6299999999999999E-7</v>
      </c>
      <c r="E24">
        <v>5.0297000000000004E-4</v>
      </c>
      <c r="F24" s="1">
        <v>1.28E-6</v>
      </c>
      <c r="G24">
        <v>1591.5</v>
      </c>
      <c r="H24">
        <v>15</v>
      </c>
      <c r="J24">
        <f t="shared" si="0"/>
        <v>9.9999818860000005</v>
      </c>
      <c r="K24">
        <f t="shared" si="1"/>
        <v>4.7587000000000004E-4</v>
      </c>
      <c r="L24">
        <f t="shared" si="2"/>
        <v>4.7588564222120174E-6</v>
      </c>
      <c r="M24">
        <v>10</v>
      </c>
      <c r="N24">
        <f t="shared" si="3"/>
        <v>-1.8113999999957997</v>
      </c>
      <c r="O24">
        <f t="shared" si="4"/>
        <v>-4.2287700000489723</v>
      </c>
    </row>
    <row r="25" spans="1:15" x14ac:dyDescent="0.25">
      <c r="A25" s="2">
        <v>44942.035856481481</v>
      </c>
      <c r="B25" t="s">
        <v>50</v>
      </c>
      <c r="C25">
        <v>10.0001912</v>
      </c>
      <c r="D25" s="1">
        <v>1.2599999999999999E-7</v>
      </c>
      <c r="E25">
        <v>5.3353999999999999E-4</v>
      </c>
      <c r="F25" s="1">
        <v>1.17E-6</v>
      </c>
      <c r="G25">
        <v>1591.5</v>
      </c>
      <c r="H25">
        <v>15</v>
      </c>
      <c r="J25">
        <f t="shared" si="0"/>
        <v>10.000191327</v>
      </c>
      <c r="K25">
        <f t="shared" si="1"/>
        <v>5.0644000000000004E-4</v>
      </c>
      <c r="L25">
        <f t="shared" si="2"/>
        <v>5.0644604000542684E-6</v>
      </c>
      <c r="M25">
        <v>10</v>
      </c>
      <c r="N25">
        <f t="shared" si="3"/>
        <v>19.132699999868663</v>
      </c>
      <c r="O25">
        <f t="shared" si="4"/>
        <v>16.715329999815491</v>
      </c>
    </row>
    <row r="26" spans="1:15" x14ac:dyDescent="0.25">
      <c r="A26" s="2">
        <v>44942.037453703706</v>
      </c>
      <c r="B26" t="s">
        <v>51</v>
      </c>
      <c r="C26">
        <v>10.00031484</v>
      </c>
      <c r="D26" s="1">
        <v>2.29E-7</v>
      </c>
      <c r="E26">
        <v>5.2101999999999997E-4</v>
      </c>
      <c r="F26" s="1">
        <v>1.1000000000000001E-6</v>
      </c>
      <c r="G26">
        <v>1591.5</v>
      </c>
      <c r="H26">
        <v>15</v>
      </c>
      <c r="J26">
        <f t="shared" si="0"/>
        <v>10.000314967</v>
      </c>
      <c r="K26">
        <f t="shared" si="1"/>
        <v>4.9392000000000001E-4</v>
      </c>
      <c r="L26">
        <f t="shared" si="2"/>
        <v>4.9391978397954211E-6</v>
      </c>
      <c r="M26">
        <v>10</v>
      </c>
      <c r="N26">
        <f t="shared" si="3"/>
        <v>31.496699999911115</v>
      </c>
      <c r="O26">
        <f t="shared" si="4"/>
        <v>29.079329999857944</v>
      </c>
    </row>
    <row r="27" spans="1:15" x14ac:dyDescent="0.25">
      <c r="A27" s="2">
        <v>44942.039201388892</v>
      </c>
      <c r="B27" t="s">
        <v>53</v>
      </c>
      <c r="C27">
        <v>10.00022601</v>
      </c>
      <c r="D27" s="1">
        <v>2.4699999999999998E-7</v>
      </c>
      <c r="E27">
        <v>5.2293999999999995E-4</v>
      </c>
      <c r="F27" s="1">
        <v>1.24E-6</v>
      </c>
      <c r="G27">
        <v>1591.5</v>
      </c>
      <c r="H27">
        <v>15</v>
      </c>
      <c r="J27">
        <f t="shared" si="0"/>
        <v>10.000226137</v>
      </c>
      <c r="K27">
        <f t="shared" si="1"/>
        <v>4.9584E-4</v>
      </c>
      <c r="L27">
        <f t="shared" si="2"/>
        <v>4.958441875850052E-6</v>
      </c>
      <c r="M27">
        <v>10</v>
      </c>
      <c r="N27">
        <f t="shared" si="3"/>
        <v>22.613700000118087</v>
      </c>
      <c r="O27">
        <f t="shared" si="4"/>
        <v>20.196330000064915</v>
      </c>
    </row>
    <row r="28" spans="1:15" x14ac:dyDescent="0.25">
      <c r="A28" s="2">
        <v>44942.040243055555</v>
      </c>
      <c r="B28" t="s">
        <v>54</v>
      </c>
      <c r="C28">
        <v>10.000352400000001</v>
      </c>
      <c r="D28" s="1">
        <v>8.9400000000000006E-8</v>
      </c>
      <c r="E28">
        <v>5.2943E-4</v>
      </c>
      <c r="F28" s="1">
        <v>8.7599999999999996E-7</v>
      </c>
      <c r="G28">
        <v>1591.5</v>
      </c>
      <c r="H28">
        <v>15</v>
      </c>
      <c r="J28">
        <f t="shared" si="0"/>
        <v>10.000352527</v>
      </c>
      <c r="K28">
        <f t="shared" si="1"/>
        <v>5.0233000000000005E-4</v>
      </c>
      <c r="L28">
        <f t="shared" si="2"/>
        <v>5.0232789361720702E-6</v>
      </c>
      <c r="M28">
        <v>10</v>
      </c>
      <c r="N28">
        <f t="shared" si="3"/>
        <v>35.252700000043546</v>
      </c>
      <c r="O28">
        <f t="shared" si="4"/>
        <v>32.835329999990371</v>
      </c>
    </row>
    <row r="29" spans="1:15" x14ac:dyDescent="0.25">
      <c r="A29" s="2">
        <v>44942.000763888886</v>
      </c>
      <c r="B29" t="s">
        <v>55</v>
      </c>
      <c r="C29">
        <v>10.00041337</v>
      </c>
      <c r="D29" s="1">
        <v>1.2700000000000001E-7</v>
      </c>
      <c r="E29">
        <v>5.2023E-4</v>
      </c>
      <c r="F29" s="1">
        <v>1.5400000000000001E-6</v>
      </c>
      <c r="G29">
        <v>1591.5</v>
      </c>
      <c r="H29">
        <v>15</v>
      </c>
      <c r="J29">
        <f t="shared" si="0"/>
        <v>10.000413497</v>
      </c>
      <c r="K29">
        <f t="shared" si="1"/>
        <v>4.9313000000000004E-4</v>
      </c>
      <c r="L29">
        <f t="shared" si="2"/>
        <v>4.931249257181928E-6</v>
      </c>
      <c r="M29">
        <v>10</v>
      </c>
      <c r="N29">
        <f t="shared" si="3"/>
        <v>41.349700000026246</v>
      </c>
      <c r="O29">
        <f t="shared" si="4"/>
        <v>38.932329999973071</v>
      </c>
    </row>
    <row r="30" spans="1:15" x14ac:dyDescent="0.25">
      <c r="A30" s="2">
        <v>44942.003483796296</v>
      </c>
      <c r="B30" t="s">
        <v>56</v>
      </c>
      <c r="C30">
        <v>10.00021974</v>
      </c>
      <c r="D30" s="1">
        <v>2.0100000000000001E-7</v>
      </c>
      <c r="E30">
        <v>5.1290000000000005E-4</v>
      </c>
      <c r="F30" s="1">
        <v>1.4500000000000001E-6</v>
      </c>
      <c r="G30">
        <v>1591.5</v>
      </c>
      <c r="H30">
        <v>15</v>
      </c>
      <c r="I30" t="s">
        <v>154</v>
      </c>
      <c r="J30">
        <f t="shared" si="0"/>
        <v>10.000219867</v>
      </c>
      <c r="K30">
        <f t="shared" si="1"/>
        <v>4.8580000000000004E-4</v>
      </c>
      <c r="L30">
        <f t="shared" si="2"/>
        <v>4.8580440738530283E-6</v>
      </c>
      <c r="M30">
        <v>10</v>
      </c>
      <c r="N30">
        <f t="shared" si="3"/>
        <v>21.986699999976267</v>
      </c>
      <c r="O30">
        <f t="shared" si="4"/>
        <v>19.569329999923095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2038-7533-4190-B9D2-5B6A9F1E7348}">
  <dimension ref="A1:P30"/>
  <sheetViews>
    <sheetView topLeftCell="A7" workbookViewId="0">
      <selection activeCell="A3" sqref="A3"/>
    </sheetView>
  </sheetViews>
  <sheetFormatPr defaultRowHeight="15" x14ac:dyDescent="0.25"/>
  <cols>
    <col min="9" max="9" width="104.7109375" bestFit="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-2.402119999901605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9">
        <v>45013.564754618055</v>
      </c>
      <c r="B3" t="s">
        <v>17</v>
      </c>
      <c r="C3" s="1">
        <v>-9.2000000000000003E-8</v>
      </c>
      <c r="D3" s="1">
        <v>8.4711274338189403E-8</v>
      </c>
      <c r="E3" s="1">
        <v>2.7800000000000001E-5</v>
      </c>
      <c r="F3" s="1">
        <v>8.37854402626136E-7</v>
      </c>
      <c r="G3">
        <v>1591.5</v>
      </c>
      <c r="H3">
        <v>15</v>
      </c>
      <c r="I3" t="s">
        <v>155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9">
        <v>45013.567802627316</v>
      </c>
      <c r="B4" t="s">
        <v>21</v>
      </c>
      <c r="C4">
        <v>9.9999759659999992</v>
      </c>
      <c r="D4" s="1">
        <v>8.9129119797133004E-8</v>
      </c>
      <c r="E4">
        <v>-1.984E-4</v>
      </c>
      <c r="F4" s="1">
        <v>1.14017542509913E-6</v>
      </c>
      <c r="G4">
        <v>1591.5</v>
      </c>
      <c r="H4">
        <v>15</v>
      </c>
      <c r="I4" t="s">
        <v>156</v>
      </c>
      <c r="J4">
        <f t="shared" ref="J4:J30" si="0">C4-C$3</f>
        <v>9.9999760579999997</v>
      </c>
      <c r="K4">
        <f>E4-E$3</f>
        <v>-2.262E-4</v>
      </c>
      <c r="L4">
        <f>K4*0.000000001/(2*PI()*J4*G4*0.000000000001)</f>
        <v>-2.2620756720592954E-6</v>
      </c>
      <c r="M4">
        <v>10</v>
      </c>
      <c r="N4">
        <f>(J4/M4-1)*1000000</f>
        <v>-2.3942000000332087</v>
      </c>
      <c r="O4">
        <f>N4+P$1</f>
        <v>-4.7963199999348136</v>
      </c>
    </row>
    <row r="5" spans="1:16" x14ac:dyDescent="0.25">
      <c r="A5" s="9">
        <v>45013.569530011577</v>
      </c>
      <c r="B5" t="s">
        <v>23</v>
      </c>
      <c r="C5">
        <v>9.9999783949999994</v>
      </c>
      <c r="D5" s="1">
        <v>1.15000000339873E-7</v>
      </c>
      <c r="E5">
        <v>-1.6944E-4</v>
      </c>
      <c r="F5" s="1">
        <v>8.7772433029967299E-7</v>
      </c>
      <c r="G5">
        <v>1591.5</v>
      </c>
      <c r="H5">
        <v>15</v>
      </c>
      <c r="J5">
        <f t="shared" si="0"/>
        <v>9.9999784869999999</v>
      </c>
      <c r="K5">
        <f t="shared" ref="K5:K30" si="1">E5-E$3</f>
        <v>-1.9724E-4</v>
      </c>
      <c r="L5">
        <f t="shared" ref="L5:L30" si="2">K5*0.000000001/(2*PI()*J5*G5*0.000000000001)</f>
        <v>-1.9724655047816564E-6</v>
      </c>
      <c r="M5">
        <v>10</v>
      </c>
      <c r="N5">
        <f t="shared" ref="N5:N30" si="3">(J5/M5-1)*1000000</f>
        <v>-2.1513000000306093</v>
      </c>
      <c r="O5">
        <f t="shared" ref="O5:O30" si="4">N5+P$1</f>
        <v>-4.5534199999322142</v>
      </c>
    </row>
    <row r="6" spans="1:16" x14ac:dyDescent="0.25">
      <c r="A6" s="9">
        <v>45013.570730266205</v>
      </c>
      <c r="B6" t="s">
        <v>24</v>
      </c>
      <c r="C6">
        <v>99.999820119999995</v>
      </c>
      <c r="D6" s="1">
        <v>7.4833149369589304E-8</v>
      </c>
      <c r="E6">
        <v>1.7305000000000001E-3</v>
      </c>
      <c r="F6" s="1">
        <v>1.3601470508735399E-6</v>
      </c>
      <c r="G6">
        <v>1591.5</v>
      </c>
      <c r="H6">
        <v>15</v>
      </c>
      <c r="J6">
        <f t="shared" si="0"/>
        <v>99.999820211999989</v>
      </c>
      <c r="K6">
        <f t="shared" si="1"/>
        <v>1.7027000000000001E-3</v>
      </c>
      <c r="L6">
        <f t="shared" si="2"/>
        <v>1.7027559460669788E-6</v>
      </c>
      <c r="M6">
        <v>100</v>
      </c>
      <c r="N6">
        <f t="shared" si="3"/>
        <v>-1.7978800000983952</v>
      </c>
      <c r="O6">
        <f t="shared" si="4"/>
        <v>-4.2</v>
      </c>
    </row>
    <row r="7" spans="1:16" x14ac:dyDescent="0.25">
      <c r="A7" s="9">
        <v>45013.572420300923</v>
      </c>
      <c r="B7" t="s">
        <v>25</v>
      </c>
      <c r="C7">
        <v>99.999821400000002</v>
      </c>
      <c r="D7" s="1">
        <v>9.9999999747524395E-8</v>
      </c>
      <c r="E7">
        <v>2.0840999999999902E-3</v>
      </c>
      <c r="F7" s="1">
        <v>8.3066238629174501E-7</v>
      </c>
      <c r="G7">
        <v>1591.5</v>
      </c>
      <c r="H7">
        <v>15</v>
      </c>
      <c r="J7">
        <f t="shared" si="0"/>
        <v>99.999821491999995</v>
      </c>
      <c r="K7">
        <f t="shared" si="1"/>
        <v>2.0562999999999901E-3</v>
      </c>
      <c r="L7">
        <f t="shared" si="2"/>
        <v>2.056367538074708E-6</v>
      </c>
      <c r="M7">
        <v>100</v>
      </c>
      <c r="N7">
        <f t="shared" si="3"/>
        <v>-1.7850800000385192</v>
      </c>
      <c r="O7">
        <f t="shared" si="4"/>
        <v>-4.1871999999401242</v>
      </c>
    </row>
    <row r="8" spans="1:16" x14ac:dyDescent="0.25">
      <c r="A8" s="9">
        <v>45013.573414664352</v>
      </c>
      <c r="B8" t="s">
        <v>26</v>
      </c>
      <c r="C8">
        <v>9.9999759630000007</v>
      </c>
      <c r="D8" s="1">
        <v>4.2438190405953199E-8</v>
      </c>
      <c r="E8">
        <v>-3.0483000000000002E-4</v>
      </c>
      <c r="F8" s="1">
        <v>1.1109005356016301E-6</v>
      </c>
      <c r="G8">
        <v>1591.5</v>
      </c>
      <c r="H8">
        <v>15</v>
      </c>
      <c r="J8">
        <f t="shared" si="0"/>
        <v>9.9999760550000012</v>
      </c>
      <c r="K8">
        <f t="shared" si="1"/>
        <v>-3.3263000000000005E-4</v>
      </c>
      <c r="L8">
        <f t="shared" si="2"/>
        <v>-3.3264112777312734E-6</v>
      </c>
      <c r="M8">
        <v>10</v>
      </c>
      <c r="N8">
        <f t="shared" si="3"/>
        <v>-2.3944999998359862</v>
      </c>
      <c r="O8">
        <f t="shared" si="4"/>
        <v>-4.7966199997375911</v>
      </c>
    </row>
    <row r="9" spans="1:16" x14ac:dyDescent="0.25">
      <c r="A9" s="9">
        <v>45013.575335335649</v>
      </c>
      <c r="B9" t="s">
        <v>28</v>
      </c>
      <c r="C9">
        <v>9.9999737789999994</v>
      </c>
      <c r="D9" s="1">
        <v>7.3681747873646305E-8</v>
      </c>
      <c r="E9">
        <v>-2.6265999999999898E-4</v>
      </c>
      <c r="F9" s="1">
        <v>1.1516944039110299E-6</v>
      </c>
      <c r="G9">
        <v>1591.5</v>
      </c>
      <c r="H9">
        <v>15</v>
      </c>
      <c r="J9">
        <f t="shared" si="0"/>
        <v>9.9999738709999999</v>
      </c>
      <c r="K9">
        <f t="shared" si="1"/>
        <v>-2.90459999999999E-4</v>
      </c>
      <c r="L9">
        <f t="shared" si="2"/>
        <v>-2.9046978046061482E-6</v>
      </c>
      <c r="M9">
        <v>10</v>
      </c>
      <c r="N9">
        <f t="shared" si="3"/>
        <v>-2.6129000000318925</v>
      </c>
      <c r="O9">
        <f t="shared" si="4"/>
        <v>-5.0150199999334975</v>
      </c>
    </row>
    <row r="10" spans="1:16" x14ac:dyDescent="0.25">
      <c r="A10" s="9">
        <v>45013.576297627318</v>
      </c>
      <c r="B10" t="s">
        <v>29</v>
      </c>
      <c r="C10">
        <v>99.999786799999995</v>
      </c>
      <c r="D10" s="1">
        <v>1.4210854715202001E-14</v>
      </c>
      <c r="E10">
        <v>7.6309999999999995E-4</v>
      </c>
      <c r="F10" s="1">
        <v>1.22065556157338E-6</v>
      </c>
      <c r="G10">
        <v>1591.5</v>
      </c>
      <c r="H10">
        <v>15</v>
      </c>
      <c r="J10">
        <f t="shared" si="0"/>
        <v>99.999786891999989</v>
      </c>
      <c r="K10">
        <f t="shared" si="1"/>
        <v>7.3529999999999993E-4</v>
      </c>
      <c r="L10">
        <f t="shared" si="2"/>
        <v>7.3532440495829134E-7</v>
      </c>
      <c r="M10">
        <v>100</v>
      </c>
      <c r="N10">
        <f t="shared" si="3"/>
        <v>-2.1310800001339558</v>
      </c>
      <c r="O10">
        <f t="shared" si="4"/>
        <v>-4.5332000000355608</v>
      </c>
    </row>
    <row r="11" spans="1:16" x14ac:dyDescent="0.25">
      <c r="A11" s="9">
        <v>45013.577617800926</v>
      </c>
      <c r="B11" t="s">
        <v>30</v>
      </c>
      <c r="C11">
        <v>99.999870719999905</v>
      </c>
      <c r="D11" s="1">
        <v>1.24899961882673E-7</v>
      </c>
      <c r="E11">
        <v>8.5369999999999999E-4</v>
      </c>
      <c r="F11" s="1">
        <v>1.4866068747318401E-6</v>
      </c>
      <c r="G11">
        <v>1591.5</v>
      </c>
      <c r="H11">
        <v>15</v>
      </c>
      <c r="J11">
        <f t="shared" si="0"/>
        <v>99.999870811999898</v>
      </c>
      <c r="K11">
        <f t="shared" si="1"/>
        <v>8.2589999999999996E-4</v>
      </c>
      <c r="L11">
        <f t="shared" si="2"/>
        <v>8.259267188963968E-7</v>
      </c>
      <c r="M11">
        <v>100</v>
      </c>
      <c r="N11">
        <f t="shared" si="3"/>
        <v>-1.2918800009753539</v>
      </c>
      <c r="O11">
        <f t="shared" si="4"/>
        <v>-3.6940000008769589</v>
      </c>
    </row>
    <row r="12" spans="1:16" x14ac:dyDescent="0.25">
      <c r="A12" s="9">
        <v>45013.581126481484</v>
      </c>
      <c r="B12" t="s">
        <v>31</v>
      </c>
      <c r="C12">
        <v>10.00020511</v>
      </c>
      <c r="D12" s="1">
        <v>8.3066238830047198E-8</v>
      </c>
      <c r="E12">
        <v>1.0131000000000001E-3</v>
      </c>
      <c r="F12" s="1">
        <v>1.2569805089976401E-6</v>
      </c>
      <c r="G12">
        <v>1591.5</v>
      </c>
      <c r="H12">
        <v>15</v>
      </c>
      <c r="I12" t="s">
        <v>157</v>
      </c>
      <c r="J12">
        <f t="shared" si="0"/>
        <v>10.000205202</v>
      </c>
      <c r="K12">
        <f t="shared" si="1"/>
        <v>9.8530000000000015E-4</v>
      </c>
      <c r="L12">
        <f t="shared" si="2"/>
        <v>9.8531038398877217E-6</v>
      </c>
      <c r="M12">
        <v>10</v>
      </c>
      <c r="N12">
        <f t="shared" si="3"/>
        <v>20.520200000095912</v>
      </c>
      <c r="O12">
        <f t="shared" si="4"/>
        <v>18.118080000194308</v>
      </c>
    </row>
    <row r="13" spans="1:16" x14ac:dyDescent="0.25">
      <c r="A13" s="9">
        <v>45013.5827565625</v>
      </c>
      <c r="B13" t="s">
        <v>33</v>
      </c>
      <c r="C13">
        <v>100.00409809999999</v>
      </c>
      <c r="D13" s="1">
        <v>2.9999999924257201E-7</v>
      </c>
      <c r="E13">
        <v>9.2321E-3</v>
      </c>
      <c r="F13" s="1">
        <v>1.56204993518153E-6</v>
      </c>
      <c r="G13">
        <v>1591.5</v>
      </c>
      <c r="H13">
        <v>15</v>
      </c>
      <c r="J13">
        <f t="shared" si="0"/>
        <v>100.00409819199999</v>
      </c>
      <c r="K13">
        <f t="shared" si="1"/>
        <v>9.2043000000000003E-3</v>
      </c>
      <c r="L13">
        <f t="shared" si="2"/>
        <v>9.2042086732201899E-6</v>
      </c>
      <c r="M13">
        <v>100</v>
      </c>
      <c r="N13">
        <f t="shared" si="3"/>
        <v>40.981919999794059</v>
      </c>
      <c r="O13">
        <f t="shared" si="4"/>
        <v>38.579799999892451</v>
      </c>
    </row>
    <row r="14" spans="1:16" x14ac:dyDescent="0.25">
      <c r="A14" s="9">
        <v>45013.586243888887</v>
      </c>
      <c r="B14" t="s">
        <v>34</v>
      </c>
      <c r="C14">
        <v>1000.03233</v>
      </c>
      <c r="D14">
        <v>0</v>
      </c>
      <c r="E14">
        <v>0.209702</v>
      </c>
      <c r="F14" s="1">
        <v>2.7129319932501601E-5</v>
      </c>
      <c r="G14">
        <v>1591.5</v>
      </c>
      <c r="H14">
        <v>1.5</v>
      </c>
      <c r="J14">
        <f t="shared" si="0"/>
        <v>1000.0323300920001</v>
      </c>
      <c r="K14">
        <f t="shared" si="1"/>
        <v>0.20967420000000001</v>
      </c>
      <c r="L14">
        <f t="shared" si="2"/>
        <v>2.0967393356198357E-5</v>
      </c>
      <c r="M14">
        <v>1000</v>
      </c>
      <c r="N14">
        <f t="shared" si="3"/>
        <v>32.330091999988042</v>
      </c>
      <c r="O14">
        <f t="shared" si="4"/>
        <v>29.927972000086438</v>
      </c>
    </row>
    <row r="15" spans="1:16" x14ac:dyDescent="0.25">
      <c r="A15" s="9">
        <v>45013.589379687503</v>
      </c>
      <c r="B15" t="s">
        <v>35</v>
      </c>
      <c r="C15">
        <v>1000.01642799999</v>
      </c>
      <c r="D15" s="1">
        <v>1.7204650522365599E-5</v>
      </c>
      <c r="E15">
        <v>0.215247999999999</v>
      </c>
      <c r="F15" s="1">
        <v>4.2142615011413098E-5</v>
      </c>
      <c r="G15">
        <v>1591.5</v>
      </c>
      <c r="H15">
        <v>1.5</v>
      </c>
      <c r="J15">
        <f t="shared" si="0"/>
        <v>1000.0164280919901</v>
      </c>
      <c r="K15">
        <f t="shared" si="1"/>
        <v>0.215220199999999</v>
      </c>
      <c r="L15">
        <f t="shared" si="2"/>
        <v>2.1522334888559837E-5</v>
      </c>
      <c r="M15">
        <v>1000</v>
      </c>
      <c r="N15">
        <f t="shared" si="3"/>
        <v>16.428091990094984</v>
      </c>
      <c r="O15">
        <f t="shared" si="4"/>
        <v>14.02597199019338</v>
      </c>
    </row>
    <row r="16" spans="1:16" x14ac:dyDescent="0.25">
      <c r="A16" s="9">
        <v>45013.592409363424</v>
      </c>
      <c r="B16" t="s">
        <v>36</v>
      </c>
      <c r="C16">
        <v>4.9999546649999997</v>
      </c>
      <c r="D16" s="1">
        <v>6.0704200971639206E-8</v>
      </c>
      <c r="E16">
        <v>2.6854E-4</v>
      </c>
      <c r="F16" s="1">
        <v>8.4994117443502699E-7</v>
      </c>
      <c r="G16">
        <v>1591.5</v>
      </c>
      <c r="H16">
        <v>15</v>
      </c>
      <c r="I16" t="s">
        <v>158</v>
      </c>
      <c r="J16">
        <f t="shared" si="0"/>
        <v>4.9999547569999994</v>
      </c>
      <c r="K16">
        <f t="shared" si="1"/>
        <v>2.4074E-4</v>
      </c>
      <c r="L16">
        <f t="shared" si="2"/>
        <v>4.8149931133944264E-6</v>
      </c>
      <c r="M16">
        <v>5</v>
      </c>
      <c r="N16">
        <f t="shared" si="3"/>
        <v>-9.0486000001721578</v>
      </c>
      <c r="O16">
        <f t="shared" si="4"/>
        <v>-11.450720000073762</v>
      </c>
    </row>
    <row r="17" spans="1:15" x14ac:dyDescent="0.25">
      <c r="A17" s="9">
        <v>45013.596110925922</v>
      </c>
      <c r="B17" t="s">
        <v>38</v>
      </c>
      <c r="C17">
        <v>5.0001057429999998</v>
      </c>
      <c r="D17" s="1">
        <v>8.5094065622574303E-8</v>
      </c>
      <c r="E17">
        <v>-2.4110000000000001E-4</v>
      </c>
      <c r="F17" s="1">
        <v>4.5166359162544501E-7</v>
      </c>
      <c r="G17">
        <v>1591.5</v>
      </c>
      <c r="H17">
        <v>15</v>
      </c>
      <c r="J17">
        <f t="shared" si="0"/>
        <v>5.0001058349999994</v>
      </c>
      <c r="K17">
        <f t="shared" si="1"/>
        <v>-2.6890000000000003E-4</v>
      </c>
      <c r="L17">
        <f t="shared" si="2"/>
        <v>-5.378053199808639E-6</v>
      </c>
      <c r="M17">
        <v>5</v>
      </c>
      <c r="N17">
        <f t="shared" si="3"/>
        <v>21.166999999877589</v>
      </c>
      <c r="O17">
        <f t="shared" si="4"/>
        <v>18.764879999975985</v>
      </c>
    </row>
    <row r="18" spans="1:15" x14ac:dyDescent="0.25">
      <c r="A18" s="9">
        <v>45013.59730277778</v>
      </c>
      <c r="B18" t="s">
        <v>40</v>
      </c>
      <c r="C18">
        <v>0.50005216099999905</v>
      </c>
      <c r="D18" s="1">
        <v>7.7388629670066599E-8</v>
      </c>
      <c r="E18" s="1">
        <v>7.7349999999999901E-5</v>
      </c>
      <c r="F18" s="1">
        <v>1.00722390757964E-6</v>
      </c>
      <c r="G18">
        <v>1591.5</v>
      </c>
      <c r="H18">
        <v>15</v>
      </c>
      <c r="J18">
        <f t="shared" si="0"/>
        <v>0.500052252999999</v>
      </c>
      <c r="K18">
        <f t="shared" si="1"/>
        <v>4.9549999999999903E-5</v>
      </c>
      <c r="L18">
        <f t="shared" si="2"/>
        <v>9.9092722195282041E-6</v>
      </c>
      <c r="M18">
        <v>0.5</v>
      </c>
      <c r="N18">
        <f t="shared" si="3"/>
        <v>104.50599999800581</v>
      </c>
      <c r="O18">
        <f t="shared" si="4"/>
        <v>102.1038799981042</v>
      </c>
    </row>
    <row r="19" spans="1:15" x14ac:dyDescent="0.25">
      <c r="A19" s="9">
        <v>45013.600190196761</v>
      </c>
      <c r="B19" t="s">
        <v>42</v>
      </c>
      <c r="C19">
        <v>1000.160614</v>
      </c>
      <c r="D19" s="1">
        <v>4.89897947319762E-6</v>
      </c>
      <c r="E19">
        <v>0.12729399999999999</v>
      </c>
      <c r="F19" s="1">
        <v>3.8000000000001303E-5</v>
      </c>
      <c r="G19">
        <v>1591.5</v>
      </c>
      <c r="H19">
        <v>1.5</v>
      </c>
      <c r="I19" t="s">
        <v>159</v>
      </c>
      <c r="J19">
        <f t="shared" si="0"/>
        <v>1000.1606140920001</v>
      </c>
      <c r="K19">
        <f t="shared" si="1"/>
        <v>0.1272662</v>
      </c>
      <c r="L19">
        <f t="shared" si="2"/>
        <v>1.2724971470513987E-5</v>
      </c>
      <c r="M19">
        <v>1000</v>
      </c>
      <c r="N19">
        <f t="shared" si="3"/>
        <v>160.61409200007759</v>
      </c>
      <c r="O19">
        <f t="shared" si="4"/>
        <v>158.21197200017599</v>
      </c>
    </row>
    <row r="20" spans="1:15" x14ac:dyDescent="0.25">
      <c r="A20" s="9">
        <v>45013.602209722223</v>
      </c>
      <c r="B20" t="s">
        <v>44</v>
      </c>
      <c r="C20">
        <v>10.00039722</v>
      </c>
      <c r="D20" s="1">
        <v>9.7979589514715994E-8</v>
      </c>
      <c r="E20">
        <v>5.0115999999999995E-4</v>
      </c>
      <c r="F20" s="1">
        <v>1.4354093492798499E-6</v>
      </c>
      <c r="G20">
        <v>1591.5</v>
      </c>
      <c r="H20">
        <v>15</v>
      </c>
      <c r="I20" t="s">
        <v>160</v>
      </c>
      <c r="J20">
        <f t="shared" si="0"/>
        <v>10.000397312</v>
      </c>
      <c r="K20">
        <f t="shared" si="1"/>
        <v>4.7335999999999993E-4</v>
      </c>
      <c r="L20">
        <f t="shared" si="2"/>
        <v>4.7335589524529323E-6</v>
      </c>
      <c r="M20">
        <v>10</v>
      </c>
      <c r="N20">
        <f t="shared" si="3"/>
        <v>39.731200000003852</v>
      </c>
      <c r="O20">
        <f t="shared" si="4"/>
        <v>37.329080000102245</v>
      </c>
    </row>
    <row r="21" spans="1:15" x14ac:dyDescent="0.25">
      <c r="A21" s="9">
        <v>45013.605348090277</v>
      </c>
      <c r="B21" t="s">
        <v>46</v>
      </c>
      <c r="C21">
        <v>10.0001375899999</v>
      </c>
      <c r="D21" s="1">
        <v>1.2206555652147499E-7</v>
      </c>
      <c r="E21">
        <v>5.0411E-4</v>
      </c>
      <c r="F21" s="1">
        <v>1.54690012605856E-6</v>
      </c>
      <c r="G21">
        <v>1591.5</v>
      </c>
      <c r="H21">
        <v>15</v>
      </c>
      <c r="J21">
        <f t="shared" si="0"/>
        <v>10.000137681999901</v>
      </c>
      <c r="K21">
        <f t="shared" si="1"/>
        <v>4.7630999999999997E-4</v>
      </c>
      <c r="L21">
        <f t="shared" si="2"/>
        <v>4.7631823582332358E-6</v>
      </c>
      <c r="M21">
        <v>10</v>
      </c>
      <c r="N21">
        <f t="shared" si="3"/>
        <v>13.768199990105146</v>
      </c>
      <c r="O21">
        <f t="shared" si="4"/>
        <v>11.366079990203541</v>
      </c>
    </row>
    <row r="22" spans="1:15" x14ac:dyDescent="0.25">
      <c r="A22" s="9">
        <v>45013.608062430554</v>
      </c>
      <c r="B22" t="s">
        <v>47</v>
      </c>
      <c r="C22">
        <v>10.000113750000001</v>
      </c>
      <c r="D22" s="1">
        <v>1.2845232562828701E-7</v>
      </c>
      <c r="E22">
        <v>4.9299999999999995E-4</v>
      </c>
      <c r="F22" s="1">
        <v>1.5646085772486699E-6</v>
      </c>
      <c r="G22">
        <v>1591.5</v>
      </c>
      <c r="H22">
        <v>15</v>
      </c>
      <c r="J22">
        <f t="shared" si="0"/>
        <v>10.000113842000001</v>
      </c>
      <c r="K22">
        <f t="shared" si="1"/>
        <v>4.6519999999999992E-4</v>
      </c>
      <c r="L22">
        <f t="shared" si="2"/>
        <v>4.6520915276489308E-6</v>
      </c>
      <c r="M22">
        <v>10</v>
      </c>
      <c r="N22">
        <f t="shared" si="3"/>
        <v>11.384200000019717</v>
      </c>
      <c r="O22">
        <f t="shared" si="4"/>
        <v>8.9820800001181134</v>
      </c>
    </row>
    <row r="23" spans="1:15" x14ac:dyDescent="0.25">
      <c r="A23" s="9">
        <v>45013.608962986109</v>
      </c>
      <c r="B23" t="s">
        <v>48</v>
      </c>
      <c r="C23">
        <v>10.00020992</v>
      </c>
      <c r="D23" s="1">
        <v>1.24899960033781E-7</v>
      </c>
      <c r="E23">
        <v>5.2406000000000002E-4</v>
      </c>
      <c r="F23" s="1">
        <v>1.3252924205623499E-6</v>
      </c>
      <c r="G23">
        <v>1591.5</v>
      </c>
      <c r="H23">
        <v>15</v>
      </c>
      <c r="J23">
        <f t="shared" si="0"/>
        <v>10.000210012</v>
      </c>
      <c r="K23">
        <f t="shared" si="1"/>
        <v>4.9626E-4</v>
      </c>
      <c r="L23">
        <f t="shared" si="2"/>
        <v>4.9626499134129114E-6</v>
      </c>
      <c r="M23">
        <v>10</v>
      </c>
      <c r="N23">
        <f t="shared" si="3"/>
        <v>21.001199999926001</v>
      </c>
      <c r="O23">
        <f t="shared" si="4"/>
        <v>18.599080000024397</v>
      </c>
    </row>
    <row r="24" spans="1:15" x14ac:dyDescent="0.25">
      <c r="A24" s="9">
        <v>45013.617787835647</v>
      </c>
      <c r="B24" t="s">
        <v>49</v>
      </c>
      <c r="C24">
        <v>10.0000038</v>
      </c>
      <c r="D24" s="1">
        <v>1.4832396967881201E-7</v>
      </c>
      <c r="E24">
        <v>5.0436000000000003E-4</v>
      </c>
      <c r="F24" s="1">
        <v>1.56792856980156E-6</v>
      </c>
      <c r="G24">
        <v>1591.5</v>
      </c>
      <c r="H24">
        <v>15</v>
      </c>
      <c r="J24">
        <f t="shared" si="0"/>
        <v>10.000003892000001</v>
      </c>
      <c r="K24">
        <f t="shared" si="1"/>
        <v>4.7656E-4</v>
      </c>
      <c r="L24">
        <f t="shared" si="2"/>
        <v>4.765746161500444E-6</v>
      </c>
      <c r="M24">
        <v>10</v>
      </c>
      <c r="N24">
        <f t="shared" si="3"/>
        <v>0.38920000000608468</v>
      </c>
      <c r="O24">
        <f t="shared" si="4"/>
        <v>-2.0129199998955203</v>
      </c>
    </row>
    <row r="25" spans="1:15" x14ac:dyDescent="0.25">
      <c r="A25" s="9">
        <v>45013.620069988428</v>
      </c>
      <c r="B25" t="s">
        <v>50</v>
      </c>
      <c r="C25">
        <v>10.00021505</v>
      </c>
      <c r="D25" s="1">
        <v>2.15638586535966E-7</v>
      </c>
      <c r="E25">
        <v>5.3552999999999999E-4</v>
      </c>
      <c r="F25" s="1">
        <v>1.5937691175323801E-6</v>
      </c>
      <c r="G25">
        <v>1591.5</v>
      </c>
      <c r="H25">
        <v>15</v>
      </c>
      <c r="J25">
        <f t="shared" si="0"/>
        <v>10.000215142</v>
      </c>
      <c r="K25">
        <f t="shared" si="1"/>
        <v>5.0772999999999997E-4</v>
      </c>
      <c r="L25">
        <f t="shared" si="2"/>
        <v>5.077348462430792E-6</v>
      </c>
      <c r="M25">
        <v>10</v>
      </c>
      <c r="N25">
        <f t="shared" si="3"/>
        <v>21.514199999961292</v>
      </c>
      <c r="O25">
        <f t="shared" si="4"/>
        <v>19.112080000059688</v>
      </c>
    </row>
    <row r="26" spans="1:15" x14ac:dyDescent="0.25">
      <c r="A26" s="9">
        <v>45013.62141013889</v>
      </c>
      <c r="B26" t="s">
        <v>51</v>
      </c>
      <c r="C26">
        <v>10.000339670000001</v>
      </c>
      <c r="D26" s="1">
        <v>1.09999999912831E-7</v>
      </c>
      <c r="E26">
        <v>5.1276999999999996E-4</v>
      </c>
      <c r="F26" s="1">
        <v>8.2346827504161297E-7</v>
      </c>
      <c r="G26">
        <v>1591.5</v>
      </c>
      <c r="H26">
        <v>15</v>
      </c>
      <c r="J26">
        <f t="shared" si="0"/>
        <v>10.000339762000001</v>
      </c>
      <c r="K26">
        <f t="shared" si="1"/>
        <v>4.8496999999999993E-4</v>
      </c>
      <c r="L26">
        <f t="shared" si="2"/>
        <v>4.8496858545217215E-6</v>
      </c>
      <c r="M26">
        <v>10</v>
      </c>
      <c r="N26">
        <f t="shared" si="3"/>
        <v>33.976200000118695</v>
      </c>
      <c r="O26">
        <f t="shared" si="4"/>
        <v>31.574080000217091</v>
      </c>
    </row>
    <row r="27" spans="1:15" x14ac:dyDescent="0.25">
      <c r="A27" s="9">
        <v>45013.622502372687</v>
      </c>
      <c r="B27" t="s">
        <v>53</v>
      </c>
      <c r="C27">
        <v>10.00024915</v>
      </c>
      <c r="D27" s="1">
        <v>6.7082039711715398E-8</v>
      </c>
      <c r="E27">
        <v>5.1406999999999896E-4</v>
      </c>
      <c r="F27" s="1">
        <v>1.762413118426E-6</v>
      </c>
      <c r="G27">
        <v>1591.5</v>
      </c>
      <c r="H27">
        <v>15</v>
      </c>
      <c r="J27">
        <f t="shared" si="0"/>
        <v>10.000249242000001</v>
      </c>
      <c r="K27">
        <f t="shared" si="1"/>
        <v>4.8626999999999893E-4</v>
      </c>
      <c r="L27">
        <f t="shared" si="2"/>
        <v>4.862729832538601E-6</v>
      </c>
      <c r="M27">
        <v>10</v>
      </c>
      <c r="N27">
        <f t="shared" si="3"/>
        <v>24.924200000109309</v>
      </c>
      <c r="O27">
        <f t="shared" si="4"/>
        <v>22.522080000207705</v>
      </c>
    </row>
    <row r="28" spans="1:15" x14ac:dyDescent="0.25">
      <c r="A28" s="9">
        <v>45013.624154930556</v>
      </c>
      <c r="B28" t="s">
        <v>54</v>
      </c>
      <c r="C28">
        <v>10.000377329999999</v>
      </c>
      <c r="D28" s="1">
        <v>1.3453624040569901E-7</v>
      </c>
      <c r="E28">
        <v>5.2713999999999897E-4</v>
      </c>
      <c r="F28" s="1">
        <v>1.17149477164858E-6</v>
      </c>
      <c r="G28">
        <v>1591.5</v>
      </c>
      <c r="H28">
        <v>15</v>
      </c>
      <c r="J28">
        <f t="shared" si="0"/>
        <v>10.000377422</v>
      </c>
      <c r="K28">
        <f t="shared" si="1"/>
        <v>4.9933999999999894E-4</v>
      </c>
      <c r="L28">
        <f t="shared" si="2"/>
        <v>4.9933666310014748E-6</v>
      </c>
      <c r="M28">
        <v>10</v>
      </c>
      <c r="N28">
        <f t="shared" si="3"/>
        <v>37.742199999968307</v>
      </c>
      <c r="O28">
        <f t="shared" si="4"/>
        <v>35.340080000066699</v>
      </c>
    </row>
    <row r="29" spans="1:15" x14ac:dyDescent="0.25">
      <c r="A29" s="9">
        <v>45013.625876481485</v>
      </c>
      <c r="B29" t="s">
        <v>55</v>
      </c>
      <c r="C29">
        <v>10.00043608</v>
      </c>
      <c r="D29" s="1">
        <v>1.5999999989357799E-7</v>
      </c>
      <c r="E29">
        <v>5.1598999999999905E-4</v>
      </c>
      <c r="F29" s="1">
        <v>8.0925892024739999E-7</v>
      </c>
      <c r="G29">
        <v>1591.5</v>
      </c>
      <c r="H29">
        <v>15</v>
      </c>
      <c r="J29">
        <f t="shared" si="0"/>
        <v>10.000436172000001</v>
      </c>
      <c r="K29">
        <f t="shared" si="1"/>
        <v>4.8818999999999902E-4</v>
      </c>
      <c r="L29">
        <f t="shared" si="2"/>
        <v>4.8818386963937841E-6</v>
      </c>
      <c r="M29">
        <v>10</v>
      </c>
      <c r="N29">
        <f t="shared" si="3"/>
        <v>43.617200000012346</v>
      </c>
      <c r="O29">
        <f t="shared" si="4"/>
        <v>41.215080000110738</v>
      </c>
    </row>
    <row r="30" spans="1:15" x14ac:dyDescent="0.25">
      <c r="A30" s="9">
        <v>45013.627358773148</v>
      </c>
      <c r="B30" t="s">
        <v>56</v>
      </c>
      <c r="C30">
        <v>10.00024187</v>
      </c>
      <c r="D30" s="1">
        <v>1.10000000058169E-7</v>
      </c>
      <c r="E30">
        <v>5.0500000000000002E-4</v>
      </c>
      <c r="F30" s="1">
        <v>1.3266499161421501E-6</v>
      </c>
      <c r="G30">
        <v>1591.5</v>
      </c>
      <c r="H30">
        <v>15</v>
      </c>
      <c r="I30" t="s">
        <v>154</v>
      </c>
      <c r="J30">
        <f t="shared" si="0"/>
        <v>10.000241962</v>
      </c>
      <c r="K30">
        <f t="shared" si="1"/>
        <v>4.772E-4</v>
      </c>
      <c r="L30">
        <f t="shared" si="2"/>
        <v>4.7720327500497156E-6</v>
      </c>
      <c r="M30">
        <v>10</v>
      </c>
      <c r="N30">
        <f t="shared" si="3"/>
        <v>24.196200000048407</v>
      </c>
      <c r="O30">
        <f t="shared" si="4"/>
        <v>21.794080000146803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4FAB-0C57-4A29-ADAF-AADDA99856C6}">
  <dimension ref="A1:P30"/>
  <sheetViews>
    <sheetView workbookViewId="0">
      <selection activeCell="A3" sqref="A3"/>
    </sheetView>
  </sheetViews>
  <sheetFormatPr defaultRowHeight="15" x14ac:dyDescent="0.25"/>
  <cols>
    <col min="1" max="1" width="13.85546875" bestFit="1" customWidth="1"/>
    <col min="9" max="9" width="73" bestFit="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-2.4006300000003664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2">
        <v>45054.041435185187</v>
      </c>
      <c r="B3" t="s">
        <v>17</v>
      </c>
      <c r="C3" s="1">
        <v>-1.03E-7</v>
      </c>
      <c r="D3" s="1">
        <v>8.9200000000000005E-8</v>
      </c>
      <c r="E3" s="1">
        <v>2.7699999999999999E-5</v>
      </c>
      <c r="F3" s="1">
        <v>9.8899999999999998E-7</v>
      </c>
      <c r="G3">
        <v>1591.5</v>
      </c>
      <c r="H3">
        <v>15</v>
      </c>
      <c r="I3" t="s">
        <v>161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2">
        <v>45054.003263888888</v>
      </c>
      <c r="B4" t="s">
        <v>21</v>
      </c>
      <c r="C4">
        <v>9.9999761720000002</v>
      </c>
      <c r="D4" s="1">
        <v>7.0700000000000004E-8</v>
      </c>
      <c r="E4">
        <v>-1.9457E-4</v>
      </c>
      <c r="F4" s="1">
        <v>1.06E-6</v>
      </c>
      <c r="G4">
        <v>1591.5</v>
      </c>
      <c r="H4">
        <v>15</v>
      </c>
      <c r="I4" t="s">
        <v>162</v>
      </c>
      <c r="J4">
        <f t="shared" ref="J4:J30" si="0">C4-C$3</f>
        <v>9.9999762749999999</v>
      </c>
      <c r="K4">
        <f>E4-E$3</f>
        <v>-2.2227E-4</v>
      </c>
      <c r="L4">
        <f>K4*0.000000001/(2*PI()*J4*G4*0.000000000001)</f>
        <v>-2.2227743090982173E-6</v>
      </c>
      <c r="M4">
        <v>10</v>
      </c>
      <c r="N4">
        <f>(J4/M4-1)*1000000</f>
        <v>-2.3725000000140994</v>
      </c>
      <c r="O4">
        <f>N4+P$1</f>
        <v>-4.7731300000144659</v>
      </c>
    </row>
    <row r="5" spans="1:16" x14ac:dyDescent="0.25">
      <c r="A5" s="2">
        <v>45054.005682870367</v>
      </c>
      <c r="B5" t="s">
        <v>23</v>
      </c>
      <c r="C5">
        <v>9.9999786069999992</v>
      </c>
      <c r="D5" s="1">
        <v>9.5399999999999994E-8</v>
      </c>
      <c r="E5">
        <v>-1.7624000000000001E-4</v>
      </c>
      <c r="F5" s="1">
        <v>8.3099999999999996E-7</v>
      </c>
      <c r="G5">
        <v>1591.5</v>
      </c>
      <c r="H5">
        <v>15</v>
      </c>
      <c r="J5">
        <f t="shared" si="0"/>
        <v>9.9999787099999988</v>
      </c>
      <c r="K5">
        <f t="shared" ref="K5:K30" si="1">E5-E$3</f>
        <v>-2.0394E-4</v>
      </c>
      <c r="L5">
        <f t="shared" ref="L5:L30" si="2">K5*0.000000001/(2*PI()*J5*G5*0.000000000001)</f>
        <v>-2.0394676844182265E-6</v>
      </c>
      <c r="M5">
        <v>10</v>
      </c>
      <c r="N5">
        <f t="shared" ref="N5:N30" si="3">(J5/M5-1)*1000000</f>
        <v>-2.1290000000728782</v>
      </c>
      <c r="O5">
        <f t="shared" ref="O5:O30" si="4">N5+P$1</f>
        <v>-4.5296300000732446</v>
      </c>
    </row>
    <row r="6" spans="1:16" x14ac:dyDescent="0.25">
      <c r="A6" s="2">
        <v>45054.007511574076</v>
      </c>
      <c r="B6" t="s">
        <v>24</v>
      </c>
      <c r="C6">
        <v>99.999819959999996</v>
      </c>
      <c r="D6" s="1">
        <v>1.43E-7</v>
      </c>
      <c r="E6">
        <v>1.7459999999999999E-3</v>
      </c>
      <c r="F6" s="1">
        <v>1.3400000000000001E-6</v>
      </c>
      <c r="G6">
        <v>1591.5</v>
      </c>
      <c r="H6">
        <v>15</v>
      </c>
      <c r="J6">
        <f t="shared" si="0"/>
        <v>99.999820063000001</v>
      </c>
      <c r="K6">
        <f t="shared" si="1"/>
        <v>1.7182999999999999E-3</v>
      </c>
      <c r="L6">
        <f t="shared" si="2"/>
        <v>1.7183564612006855E-6</v>
      </c>
      <c r="M6">
        <v>100</v>
      </c>
      <c r="N6">
        <f t="shared" si="3"/>
        <v>-1.7993699999996338</v>
      </c>
      <c r="O6">
        <f t="shared" si="4"/>
        <v>-4.2</v>
      </c>
    </row>
    <row r="7" spans="1:16" x14ac:dyDescent="0.25">
      <c r="A7" s="2">
        <v>45054.008449074077</v>
      </c>
      <c r="B7" t="s">
        <v>25</v>
      </c>
      <c r="C7">
        <v>99.999822140000006</v>
      </c>
      <c r="D7" s="1">
        <v>1.43E-7</v>
      </c>
      <c r="E7">
        <v>2.1107999999999999E-3</v>
      </c>
      <c r="F7" s="1">
        <v>1.4699999999999999E-6</v>
      </c>
      <c r="G7">
        <v>1591.5</v>
      </c>
      <c r="H7">
        <v>15</v>
      </c>
      <c r="I7" t="s">
        <v>163</v>
      </c>
      <c r="J7">
        <f t="shared" si="0"/>
        <v>99.999822243000011</v>
      </c>
      <c r="K7">
        <f t="shared" si="1"/>
        <v>2.0831000000000001E-3</v>
      </c>
      <c r="L7">
        <f t="shared" si="2"/>
        <v>2.0831684026617743E-6</v>
      </c>
      <c r="M7">
        <v>100</v>
      </c>
      <c r="N7">
        <f t="shared" si="3"/>
        <v>-1.7775699998612282</v>
      </c>
      <c r="O7">
        <f t="shared" si="4"/>
        <v>-4.1781999998615946</v>
      </c>
    </row>
    <row r="8" spans="1:16" x14ac:dyDescent="0.25">
      <c r="A8" s="2">
        <v>45054.010509259257</v>
      </c>
      <c r="B8" t="s">
        <v>26</v>
      </c>
      <c r="C8">
        <v>9.9999763230000003</v>
      </c>
      <c r="D8" s="1">
        <v>7.7200000000000003E-8</v>
      </c>
      <c r="E8">
        <v>-2.9946999999999998E-4</v>
      </c>
      <c r="F8" s="1">
        <v>1.06E-6</v>
      </c>
      <c r="G8">
        <v>1591.5</v>
      </c>
      <c r="H8">
        <v>15</v>
      </c>
      <c r="J8">
        <f t="shared" si="0"/>
        <v>9.9999764259999999</v>
      </c>
      <c r="K8">
        <f t="shared" si="1"/>
        <v>-3.2717E-4</v>
      </c>
      <c r="L8">
        <f t="shared" si="2"/>
        <v>-3.2718093297635278E-6</v>
      </c>
      <c r="M8">
        <v>10</v>
      </c>
      <c r="N8">
        <f t="shared" si="3"/>
        <v>-2.3573999999859652</v>
      </c>
      <c r="O8">
        <f t="shared" si="4"/>
        <v>-4.7580299999863316</v>
      </c>
    </row>
    <row r="9" spans="1:16" x14ac:dyDescent="0.25">
      <c r="A9" s="2">
        <v>45054.011597222219</v>
      </c>
      <c r="B9" t="s">
        <v>28</v>
      </c>
      <c r="C9">
        <v>9.9999740769999992</v>
      </c>
      <c r="D9" s="1">
        <v>9.2299999999999999E-8</v>
      </c>
      <c r="E9">
        <v>-2.6144999999999999E-4</v>
      </c>
      <c r="F9" s="1">
        <v>7.8000000000000005E-7</v>
      </c>
      <c r="G9">
        <v>1591.5</v>
      </c>
      <c r="H9">
        <v>15</v>
      </c>
      <c r="J9">
        <f t="shared" si="0"/>
        <v>9.9999741799999988</v>
      </c>
      <c r="K9">
        <f t="shared" si="1"/>
        <v>-2.8915000000000001E-4</v>
      </c>
      <c r="L9">
        <f t="shared" si="2"/>
        <v>-2.8915972741482431E-6</v>
      </c>
      <c r="M9">
        <v>10</v>
      </c>
      <c r="N9">
        <f t="shared" si="3"/>
        <v>-2.5820000001397503</v>
      </c>
      <c r="O9">
        <f t="shared" si="4"/>
        <v>-4.9826300001401167</v>
      </c>
    </row>
    <row r="10" spans="1:16" x14ac:dyDescent="0.25">
      <c r="A10" s="2">
        <v>45054.012499999997</v>
      </c>
      <c r="B10" t="s">
        <v>29</v>
      </c>
      <c r="C10">
        <v>99.999788019999997</v>
      </c>
      <c r="D10" s="1">
        <v>1.2499999999999999E-7</v>
      </c>
      <c r="E10">
        <v>7.762E-4</v>
      </c>
      <c r="F10" s="1">
        <v>1.7799999999999999E-6</v>
      </c>
      <c r="G10">
        <v>1591.5</v>
      </c>
      <c r="H10">
        <v>15</v>
      </c>
      <c r="J10">
        <f t="shared" si="0"/>
        <v>99.999788123000002</v>
      </c>
      <c r="K10">
        <f t="shared" si="1"/>
        <v>7.4850000000000003E-4</v>
      </c>
      <c r="L10">
        <f t="shared" si="2"/>
        <v>7.4852483385823738E-7</v>
      </c>
      <c r="M10">
        <v>100</v>
      </c>
      <c r="N10">
        <f t="shared" si="3"/>
        <v>-2.1187700000036003</v>
      </c>
      <c r="O10">
        <f t="shared" si="4"/>
        <v>-4.5194000000039667</v>
      </c>
    </row>
    <row r="11" spans="1:16" x14ac:dyDescent="0.25">
      <c r="A11" s="2">
        <v>45054.014756944445</v>
      </c>
      <c r="B11" t="s">
        <v>30</v>
      </c>
      <c r="C11">
        <v>99.999874989999995</v>
      </c>
      <c r="D11" s="1">
        <v>9.4300000000000004E-8</v>
      </c>
      <c r="E11">
        <v>8.5979999999999997E-4</v>
      </c>
      <c r="F11" s="1">
        <v>9.7999999999999993E-7</v>
      </c>
      <c r="G11">
        <v>1591.5</v>
      </c>
      <c r="H11">
        <v>15</v>
      </c>
      <c r="J11">
        <f t="shared" si="0"/>
        <v>99.999875093</v>
      </c>
      <c r="K11">
        <f t="shared" si="1"/>
        <v>8.3210000000000001E-4</v>
      </c>
      <c r="L11">
        <f t="shared" si="2"/>
        <v>8.3212688385074078E-7</v>
      </c>
      <c r="M11">
        <v>100</v>
      </c>
      <c r="N11">
        <f t="shared" si="3"/>
        <v>-1.2490699999867516</v>
      </c>
      <c r="O11">
        <f t="shared" si="4"/>
        <v>-3.649699999987118</v>
      </c>
    </row>
    <row r="12" spans="1:16" x14ac:dyDescent="0.25">
      <c r="A12" s="2">
        <v>45054.022152777776</v>
      </c>
      <c r="B12" t="s">
        <v>31</v>
      </c>
      <c r="C12">
        <v>10.00020029</v>
      </c>
      <c r="D12" s="1">
        <v>1.04E-7</v>
      </c>
      <c r="E12">
        <v>1.00741E-3</v>
      </c>
      <c r="F12" s="1">
        <v>7.6599999999999995E-7</v>
      </c>
      <c r="G12">
        <v>1591.5</v>
      </c>
      <c r="H12">
        <v>15</v>
      </c>
      <c r="J12">
        <f t="shared" si="0"/>
        <v>10.000200393</v>
      </c>
      <c r="K12">
        <f t="shared" si="1"/>
        <v>9.7970999999999996E-4</v>
      </c>
      <c r="L12">
        <f t="shared" si="2"/>
        <v>9.7972079621432399E-6</v>
      </c>
      <c r="M12">
        <v>10</v>
      </c>
      <c r="N12">
        <f t="shared" si="3"/>
        <v>20.039300000052052</v>
      </c>
      <c r="O12">
        <f t="shared" si="4"/>
        <v>17.638670000051686</v>
      </c>
    </row>
    <row r="13" spans="1:16" x14ac:dyDescent="0.25">
      <c r="A13" s="2">
        <v>45054.023900462962</v>
      </c>
      <c r="B13" t="s">
        <v>33</v>
      </c>
      <c r="C13">
        <v>100.00409449999999</v>
      </c>
      <c r="D13" s="1">
        <v>4.9999999999999998E-7</v>
      </c>
      <c r="E13">
        <v>9.3013000000000002E-3</v>
      </c>
      <c r="F13" s="1">
        <v>2.6199999999999999E-6</v>
      </c>
      <c r="G13">
        <v>1591.5</v>
      </c>
      <c r="H13">
        <v>15</v>
      </c>
      <c r="J13">
        <f t="shared" si="0"/>
        <v>100.004094603</v>
      </c>
      <c r="K13">
        <f t="shared" si="1"/>
        <v>9.2735999999999999E-3</v>
      </c>
      <c r="L13">
        <f t="shared" si="2"/>
        <v>9.2735083184252471E-6</v>
      </c>
      <c r="M13">
        <v>100</v>
      </c>
      <c r="N13">
        <f t="shared" si="3"/>
        <v>40.946029999933131</v>
      </c>
      <c r="O13">
        <f t="shared" si="4"/>
        <v>38.545399999932762</v>
      </c>
    </row>
    <row r="14" spans="1:16" x14ac:dyDescent="0.25">
      <c r="A14" s="2">
        <v>45054.025289351855</v>
      </c>
      <c r="B14" t="s">
        <v>34</v>
      </c>
      <c r="C14">
        <v>1000.03235</v>
      </c>
      <c r="D14" s="1">
        <v>1.1399999999999999E-13</v>
      </c>
      <c r="E14">
        <v>0.21175099999999999</v>
      </c>
      <c r="F14" s="1">
        <v>4.8099999999999997E-5</v>
      </c>
      <c r="G14">
        <v>1591.5</v>
      </c>
      <c r="H14">
        <v>1.5</v>
      </c>
      <c r="J14">
        <f t="shared" si="0"/>
        <v>1000.032350103</v>
      </c>
      <c r="K14">
        <f t="shared" si="1"/>
        <v>0.2117233</v>
      </c>
      <c r="L14">
        <f t="shared" si="2"/>
        <v>2.1172302672149069E-5</v>
      </c>
      <c r="M14">
        <v>1000</v>
      </c>
      <c r="N14">
        <f t="shared" si="3"/>
        <v>32.350102999956221</v>
      </c>
      <c r="O14">
        <f t="shared" si="4"/>
        <v>29.949472999955855</v>
      </c>
    </row>
    <row r="15" spans="1:16" x14ac:dyDescent="0.25">
      <c r="A15" s="2">
        <v>45054.027118055557</v>
      </c>
      <c r="B15" t="s">
        <v>35</v>
      </c>
      <c r="C15">
        <v>1000.016439</v>
      </c>
      <c r="D15" s="1">
        <v>3.0000000000000001E-6</v>
      </c>
      <c r="E15">
        <v>0.218611</v>
      </c>
      <c r="F15" s="1">
        <v>2.6999999999999999E-5</v>
      </c>
      <c r="G15">
        <v>1591.5</v>
      </c>
      <c r="H15">
        <v>1.5</v>
      </c>
      <c r="J15">
        <f t="shared" si="0"/>
        <v>1000.016439103</v>
      </c>
      <c r="K15">
        <f t="shared" si="1"/>
        <v>0.21858330000000001</v>
      </c>
      <c r="L15">
        <f t="shared" si="2"/>
        <v>2.1858649568427902E-5</v>
      </c>
      <c r="M15">
        <v>1000</v>
      </c>
      <c r="N15">
        <f t="shared" si="3"/>
        <v>16.43910299997664</v>
      </c>
      <c r="O15">
        <f t="shared" si="4"/>
        <v>14.038472999976275</v>
      </c>
    </row>
    <row r="16" spans="1:16" x14ac:dyDescent="0.25">
      <c r="A16" s="2">
        <v>45054.029131944444</v>
      </c>
      <c r="B16" t="s">
        <v>36</v>
      </c>
      <c r="C16">
        <v>4.9999543810000002</v>
      </c>
      <c r="D16" s="1">
        <v>7.5800000000000004E-8</v>
      </c>
      <c r="E16">
        <v>2.7084E-4</v>
      </c>
      <c r="F16" s="1">
        <v>9.6099999999999999E-7</v>
      </c>
      <c r="G16">
        <v>1591.5</v>
      </c>
      <c r="H16">
        <v>15</v>
      </c>
      <c r="J16">
        <f t="shared" si="0"/>
        <v>4.9999544839999999</v>
      </c>
      <c r="K16">
        <f t="shared" si="1"/>
        <v>2.4314000000000001E-4</v>
      </c>
      <c r="L16">
        <f t="shared" si="2"/>
        <v>4.8629953041142891E-6</v>
      </c>
      <c r="M16">
        <v>5</v>
      </c>
      <c r="N16">
        <f t="shared" si="3"/>
        <v>-9.1032000000268454</v>
      </c>
      <c r="O16">
        <f t="shared" si="4"/>
        <v>-11.503830000027211</v>
      </c>
    </row>
    <row r="17" spans="1:15" x14ac:dyDescent="0.25">
      <c r="A17" s="2">
        <v>45054.030960648146</v>
      </c>
      <c r="B17" t="s">
        <v>38</v>
      </c>
      <c r="C17">
        <v>5.0001059809999999</v>
      </c>
      <c r="D17" s="1">
        <v>7.0200000000000007E-8</v>
      </c>
      <c r="E17">
        <v>-2.4887999999999999E-4</v>
      </c>
      <c r="F17" s="1">
        <v>2.2299999999999998E-6</v>
      </c>
      <c r="G17">
        <v>1591.5</v>
      </c>
      <c r="H17">
        <v>15</v>
      </c>
      <c r="J17">
        <f t="shared" si="0"/>
        <v>5.0001060839999996</v>
      </c>
      <c r="K17">
        <f t="shared" si="1"/>
        <v>-2.7658000000000001E-4</v>
      </c>
      <c r="L17">
        <f t="shared" si="2"/>
        <v>-5.5316544437673457E-6</v>
      </c>
      <c r="M17">
        <v>5</v>
      </c>
      <c r="N17">
        <f t="shared" si="3"/>
        <v>21.216800000001257</v>
      </c>
      <c r="O17">
        <f t="shared" si="4"/>
        <v>18.816170000000891</v>
      </c>
    </row>
    <row r="18" spans="1:15" x14ac:dyDescent="0.25">
      <c r="A18" s="2">
        <v>45054.033148148148</v>
      </c>
      <c r="B18" t="s">
        <v>40</v>
      </c>
      <c r="C18">
        <v>0.50005218100000004</v>
      </c>
      <c r="D18" s="1">
        <v>1.11E-7</v>
      </c>
      <c r="E18" s="1">
        <v>7.8300000000000006E-5</v>
      </c>
      <c r="F18" s="1">
        <v>6.4700000000000001E-7</v>
      </c>
      <c r="G18">
        <v>1591.5</v>
      </c>
      <c r="H18">
        <v>15</v>
      </c>
      <c r="J18">
        <f t="shared" si="0"/>
        <v>0.50005228400000001</v>
      </c>
      <c r="K18">
        <f t="shared" si="1"/>
        <v>5.060000000000001E-5</v>
      </c>
      <c r="L18">
        <f t="shared" si="2"/>
        <v>1.0119256170010268E-5</v>
      </c>
      <c r="M18">
        <v>0.5</v>
      </c>
      <c r="N18">
        <f t="shared" si="3"/>
        <v>104.56800000002708</v>
      </c>
      <c r="O18">
        <f t="shared" si="4"/>
        <v>102.16737000002672</v>
      </c>
    </row>
    <row r="19" spans="1:15" x14ac:dyDescent="0.25">
      <c r="A19" s="2">
        <v>45054.035243055558</v>
      </c>
      <c r="B19" t="s">
        <v>42</v>
      </c>
      <c r="C19">
        <v>1000.17031</v>
      </c>
      <c r="D19" s="1">
        <v>4.4700000000000004E-6</v>
      </c>
      <c r="E19">
        <v>0.12964500000000001</v>
      </c>
      <c r="F19" s="1">
        <v>2.8399999999999999E-5</v>
      </c>
      <c r="G19">
        <v>1591.5</v>
      </c>
      <c r="H19">
        <v>1.5</v>
      </c>
      <c r="I19" t="s">
        <v>164</v>
      </c>
      <c r="J19">
        <f t="shared" si="0"/>
        <v>1000.170310103</v>
      </c>
      <c r="K19">
        <f t="shared" si="1"/>
        <v>0.12961730000000002</v>
      </c>
      <c r="L19">
        <f t="shared" si="2"/>
        <v>1.2959925376385103E-5</v>
      </c>
      <c r="M19">
        <v>1000</v>
      </c>
      <c r="N19">
        <f t="shared" si="3"/>
        <v>170.31010299994875</v>
      </c>
      <c r="O19">
        <f t="shared" si="4"/>
        <v>167.90947299994838</v>
      </c>
    </row>
    <row r="20" spans="1:15" x14ac:dyDescent="0.25">
      <c r="A20" s="2">
        <v>45054.038472222222</v>
      </c>
      <c r="B20" t="s">
        <v>44</v>
      </c>
      <c r="C20">
        <v>10.00040194</v>
      </c>
      <c r="D20" s="1">
        <v>2.0599999999999999E-7</v>
      </c>
      <c r="E20">
        <v>5.0849000000000001E-4</v>
      </c>
      <c r="F20" s="1">
        <v>9.2099999999999995E-7</v>
      </c>
      <c r="G20">
        <v>1591.5</v>
      </c>
      <c r="H20">
        <v>15</v>
      </c>
      <c r="I20" t="s">
        <v>165</v>
      </c>
      <c r="J20">
        <f t="shared" si="0"/>
        <v>10.000402042999999</v>
      </c>
      <c r="K20">
        <f t="shared" si="1"/>
        <v>4.8078999999999998E-4</v>
      </c>
      <c r="L20">
        <f t="shared" si="2"/>
        <v>4.8078560336520496E-6</v>
      </c>
      <c r="M20">
        <v>10</v>
      </c>
      <c r="N20">
        <f t="shared" si="3"/>
        <v>40.204299999846427</v>
      </c>
      <c r="O20">
        <f t="shared" si="4"/>
        <v>37.803669999846058</v>
      </c>
    </row>
    <row r="21" spans="1:15" x14ac:dyDescent="0.25">
      <c r="A21" s="2">
        <v>45054.040462962963</v>
      </c>
      <c r="B21" t="s">
        <v>46</v>
      </c>
      <c r="C21">
        <v>10.000141660000001</v>
      </c>
      <c r="D21" s="1">
        <v>1.5599999999999999E-7</v>
      </c>
      <c r="E21">
        <v>5.0891E-4</v>
      </c>
      <c r="F21" s="1">
        <v>1.3599999999999999E-6</v>
      </c>
      <c r="G21">
        <v>1591.5</v>
      </c>
      <c r="H21">
        <v>15</v>
      </c>
      <c r="J21">
        <f t="shared" si="0"/>
        <v>10.000141763</v>
      </c>
      <c r="K21">
        <f t="shared" si="1"/>
        <v>4.8120999999999998E-4</v>
      </c>
      <c r="L21">
        <f t="shared" si="2"/>
        <v>4.8121812416626206E-6</v>
      </c>
      <c r="M21">
        <v>10</v>
      </c>
      <c r="N21">
        <f t="shared" si="3"/>
        <v>14.176300000112718</v>
      </c>
      <c r="O21">
        <f t="shared" si="4"/>
        <v>11.775670000112353</v>
      </c>
    </row>
    <row r="22" spans="1:15" x14ac:dyDescent="0.25">
      <c r="A22" s="2">
        <v>45054.001666666663</v>
      </c>
      <c r="B22" t="s">
        <v>47</v>
      </c>
      <c r="C22">
        <v>10.00011851</v>
      </c>
      <c r="D22" s="1">
        <v>1.2200000000000001E-7</v>
      </c>
      <c r="E22">
        <v>4.9476000000000001E-4</v>
      </c>
      <c r="F22" s="1">
        <v>1.1000000000000001E-6</v>
      </c>
      <c r="G22">
        <v>1591.5</v>
      </c>
      <c r="H22">
        <v>15</v>
      </c>
      <c r="J22">
        <f t="shared" si="0"/>
        <v>10.000118613</v>
      </c>
      <c r="K22">
        <f t="shared" si="1"/>
        <v>4.6705999999999999E-4</v>
      </c>
      <c r="L22">
        <f t="shared" si="2"/>
        <v>4.670689665241457E-6</v>
      </c>
      <c r="M22">
        <v>10</v>
      </c>
      <c r="N22">
        <f t="shared" si="3"/>
        <v>11.861299999971209</v>
      </c>
      <c r="O22">
        <f t="shared" si="4"/>
        <v>9.4606699999708432</v>
      </c>
    </row>
    <row r="23" spans="1:15" x14ac:dyDescent="0.25">
      <c r="A23" s="2">
        <v>45054.002604166664</v>
      </c>
      <c r="B23" t="s">
        <v>48</v>
      </c>
      <c r="C23">
        <v>10.00021358</v>
      </c>
      <c r="D23" s="1">
        <v>1.4000000000000001E-7</v>
      </c>
      <c r="E23">
        <v>5.2893999999999999E-4</v>
      </c>
      <c r="F23" s="1">
        <v>1.6700000000000001E-6</v>
      </c>
      <c r="G23">
        <v>1591.5</v>
      </c>
      <c r="H23">
        <v>15</v>
      </c>
      <c r="J23">
        <f t="shared" si="0"/>
        <v>10.000213683</v>
      </c>
      <c r="K23">
        <f t="shared" si="1"/>
        <v>5.0124000000000002E-4</v>
      </c>
      <c r="L23">
        <f t="shared" si="2"/>
        <v>5.0124485742658903E-6</v>
      </c>
      <c r="M23">
        <v>10</v>
      </c>
      <c r="N23">
        <f t="shared" si="3"/>
        <v>21.368300000101925</v>
      </c>
      <c r="O23">
        <f t="shared" si="4"/>
        <v>18.96767000010156</v>
      </c>
    </row>
    <row r="24" spans="1:15" x14ac:dyDescent="0.25">
      <c r="A24" s="2">
        <v>45054.00408564815</v>
      </c>
      <c r="B24" t="s">
        <v>49</v>
      </c>
      <c r="C24">
        <v>10.00001</v>
      </c>
      <c r="D24" s="1">
        <v>2.1E-7</v>
      </c>
      <c r="E24">
        <v>4.9954000000000003E-4</v>
      </c>
      <c r="F24" s="1">
        <v>1.5799999999999999E-6</v>
      </c>
      <c r="G24">
        <v>1591.5</v>
      </c>
      <c r="H24">
        <v>15</v>
      </c>
      <c r="J24">
        <f t="shared" si="0"/>
        <v>10.000010102999999</v>
      </c>
      <c r="K24">
        <f t="shared" si="1"/>
        <v>4.7184000000000001E-4</v>
      </c>
      <c r="L24">
        <f t="shared" si="2"/>
        <v>4.7185417831858512E-6</v>
      </c>
      <c r="M24">
        <v>10</v>
      </c>
      <c r="N24">
        <f t="shared" si="3"/>
        <v>1.0102999998817808</v>
      </c>
      <c r="O24">
        <f t="shared" si="4"/>
        <v>-1.3903300001185857</v>
      </c>
    </row>
    <row r="25" spans="1:15" x14ac:dyDescent="0.25">
      <c r="A25" s="2">
        <v>45054.005358796298</v>
      </c>
      <c r="B25" t="s">
        <v>50</v>
      </c>
      <c r="C25">
        <v>10.00021961</v>
      </c>
      <c r="D25" s="1">
        <v>1.5099999999999999E-7</v>
      </c>
      <c r="E25">
        <v>5.2965E-4</v>
      </c>
      <c r="F25" s="1">
        <v>1.55E-6</v>
      </c>
      <c r="G25">
        <v>1591.5</v>
      </c>
      <c r="H25">
        <v>15</v>
      </c>
      <c r="J25">
        <f t="shared" si="0"/>
        <v>10.000219713</v>
      </c>
      <c r="K25">
        <f t="shared" si="1"/>
        <v>5.0195000000000003E-4</v>
      </c>
      <c r="L25">
        <f t="shared" si="2"/>
        <v>5.019545616349381E-6</v>
      </c>
      <c r="M25">
        <v>10</v>
      </c>
      <c r="N25">
        <f t="shared" si="3"/>
        <v>21.971300000034333</v>
      </c>
      <c r="O25">
        <f t="shared" si="4"/>
        <v>19.570670000033967</v>
      </c>
    </row>
    <row r="26" spans="1:15" x14ac:dyDescent="0.25">
      <c r="A26" s="2">
        <v>45054.006469907406</v>
      </c>
      <c r="B26" t="s">
        <v>51</v>
      </c>
      <c r="C26">
        <v>10.000344589999999</v>
      </c>
      <c r="D26" s="1">
        <v>1.4499999999999999E-7</v>
      </c>
      <c r="E26">
        <v>5.1862000000000002E-4</v>
      </c>
      <c r="F26" s="1">
        <v>1.7999999999999999E-6</v>
      </c>
      <c r="G26">
        <v>1591.5</v>
      </c>
      <c r="H26">
        <v>15</v>
      </c>
      <c r="J26">
        <f t="shared" si="0"/>
        <v>10.000344692999999</v>
      </c>
      <c r="K26">
        <f t="shared" si="1"/>
        <v>4.9092000000000005E-4</v>
      </c>
      <c r="L26">
        <f t="shared" si="2"/>
        <v>4.9091832603376555E-6</v>
      </c>
      <c r="M26">
        <v>10</v>
      </c>
      <c r="N26">
        <f t="shared" si="3"/>
        <v>34.46929999983972</v>
      </c>
      <c r="O26">
        <f t="shared" si="4"/>
        <v>32.068669999839351</v>
      </c>
    </row>
    <row r="27" spans="1:15" x14ac:dyDescent="0.25">
      <c r="A27" s="2">
        <v>45054.007974537039</v>
      </c>
      <c r="B27" t="s">
        <v>53</v>
      </c>
      <c r="C27">
        <v>10.00025437</v>
      </c>
      <c r="D27" s="1">
        <v>1.42E-7</v>
      </c>
      <c r="E27">
        <v>5.2101999999999997E-4</v>
      </c>
      <c r="F27" s="1">
        <v>1.28E-6</v>
      </c>
      <c r="G27">
        <v>1591.5</v>
      </c>
      <c r="H27">
        <v>15</v>
      </c>
      <c r="J27">
        <f t="shared" si="0"/>
        <v>10.000254473</v>
      </c>
      <c r="K27">
        <f t="shared" si="1"/>
        <v>4.9332E-4</v>
      </c>
      <c r="L27">
        <f t="shared" si="2"/>
        <v>4.9332276845472024E-6</v>
      </c>
      <c r="M27">
        <v>10</v>
      </c>
      <c r="N27">
        <f t="shared" si="3"/>
        <v>25.447300000092099</v>
      </c>
      <c r="O27">
        <f t="shared" si="4"/>
        <v>23.046670000091733</v>
      </c>
    </row>
    <row r="28" spans="1:15" x14ac:dyDescent="0.25">
      <c r="A28" s="2">
        <v>45054.009074074071</v>
      </c>
      <c r="B28" t="s">
        <v>54</v>
      </c>
      <c r="C28">
        <v>10.00038187</v>
      </c>
      <c r="D28" s="1">
        <v>1.49E-7</v>
      </c>
      <c r="E28">
        <v>5.3304000000000003E-4</v>
      </c>
      <c r="F28" s="1">
        <v>1.9199999999999998E-6</v>
      </c>
      <c r="G28">
        <v>1591.5</v>
      </c>
      <c r="H28">
        <v>15</v>
      </c>
      <c r="J28">
        <f t="shared" si="0"/>
        <v>10.000381973</v>
      </c>
      <c r="K28">
        <f t="shared" si="1"/>
        <v>5.0534000000000006E-4</v>
      </c>
      <c r="L28">
        <f t="shared" si="2"/>
        <v>5.05336393034511E-6</v>
      </c>
      <c r="M28">
        <v>10</v>
      </c>
      <c r="N28">
        <f t="shared" si="3"/>
        <v>38.197299999875867</v>
      </c>
      <c r="O28">
        <f t="shared" si="4"/>
        <v>35.796669999875498</v>
      </c>
    </row>
    <row r="29" spans="1:15" x14ac:dyDescent="0.25">
      <c r="A29" s="2">
        <v>45054.009780092594</v>
      </c>
      <c r="B29" t="s">
        <v>55</v>
      </c>
      <c r="C29">
        <v>10.000441929999999</v>
      </c>
      <c r="D29" s="1">
        <v>1.79E-7</v>
      </c>
      <c r="E29">
        <v>5.1679999999999999E-4</v>
      </c>
      <c r="F29" s="1">
        <v>1.2500000000000001E-6</v>
      </c>
      <c r="G29">
        <v>1591.5</v>
      </c>
      <c r="H29">
        <v>15</v>
      </c>
      <c r="J29">
        <f t="shared" si="0"/>
        <v>10.000442032999999</v>
      </c>
      <c r="K29">
        <f t="shared" si="1"/>
        <v>4.8910000000000002E-4</v>
      </c>
      <c r="L29">
        <f t="shared" si="2"/>
        <v>4.8909357156697389E-6</v>
      </c>
      <c r="M29">
        <v>10</v>
      </c>
      <c r="N29">
        <f t="shared" si="3"/>
        <v>44.203299999878709</v>
      </c>
      <c r="O29">
        <f t="shared" si="4"/>
        <v>41.80266999987834</v>
      </c>
    </row>
    <row r="30" spans="1:15" x14ac:dyDescent="0.25">
      <c r="A30" s="2">
        <v>45054.012094907404</v>
      </c>
      <c r="B30" t="s">
        <v>56</v>
      </c>
      <c r="C30">
        <v>10.000245359999999</v>
      </c>
      <c r="D30" s="1">
        <v>1.11E-7</v>
      </c>
      <c r="E30">
        <v>5.2986000000000005E-4</v>
      </c>
      <c r="F30" s="1">
        <v>9.5499999999999996E-7</v>
      </c>
      <c r="G30">
        <v>1591.5</v>
      </c>
      <c r="H30">
        <v>15</v>
      </c>
      <c r="I30" t="s">
        <v>154</v>
      </c>
      <c r="J30">
        <f t="shared" si="0"/>
        <v>10.000245462999999</v>
      </c>
      <c r="K30">
        <f t="shared" si="1"/>
        <v>5.0216000000000008E-4</v>
      </c>
      <c r="L30">
        <f t="shared" si="2"/>
        <v>5.0216327050137023E-6</v>
      </c>
      <c r="M30">
        <v>10</v>
      </c>
      <c r="N30">
        <f t="shared" si="3"/>
        <v>24.546299999927967</v>
      </c>
      <c r="O30">
        <f t="shared" si="4"/>
        <v>22.145669999927602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EC1A-A4A5-483E-B5D5-213E75DD28C0}">
  <dimension ref="A1:P30"/>
  <sheetViews>
    <sheetView workbookViewId="0">
      <selection activeCell="A3" sqref="A3"/>
    </sheetView>
  </sheetViews>
  <sheetFormatPr defaultRowHeight="15" x14ac:dyDescent="0.25"/>
  <cols>
    <col min="1" max="1" width="14.85546875" bestFit="1" customWidth="1"/>
    <col min="9" max="9" width="86.140625" bestFit="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-2.3982300001348564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2">
        <v>45062.035752314812</v>
      </c>
      <c r="B3" t="s">
        <v>17</v>
      </c>
      <c r="C3" s="1">
        <v>-1.23E-7</v>
      </c>
      <c r="D3" s="1">
        <v>7.0399999999999995E-8</v>
      </c>
      <c r="E3" s="1">
        <v>2.8600000000000001E-5</v>
      </c>
      <c r="F3" s="1">
        <v>9.4300000000000001E-7</v>
      </c>
      <c r="G3">
        <v>1591.5</v>
      </c>
      <c r="H3">
        <v>15</v>
      </c>
      <c r="I3" t="s">
        <v>166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2">
        <v>45062.03738425926</v>
      </c>
      <c r="B4" t="s">
        <v>21</v>
      </c>
      <c r="C4">
        <v>9.9999759430000008</v>
      </c>
      <c r="D4" s="1">
        <v>8.7400000000000002E-8</v>
      </c>
      <c r="E4">
        <v>-1.8079000000000001E-4</v>
      </c>
      <c r="F4" s="1">
        <v>8.7599999999999996E-7</v>
      </c>
      <c r="G4">
        <v>1591.5</v>
      </c>
      <c r="H4">
        <v>15</v>
      </c>
      <c r="I4" t="s">
        <v>167</v>
      </c>
      <c r="J4">
        <f t="shared" ref="J4:J30" si="0">C4-C$3</f>
        <v>9.9999760660000003</v>
      </c>
      <c r="K4">
        <f>E4-E$3</f>
        <v>-2.0939E-4</v>
      </c>
      <c r="L4">
        <f>K4*0.000000001/(2*PI()*J4*G4*0.000000000001)</f>
        <v>-2.0939700468327585E-6</v>
      </c>
      <c r="M4">
        <v>10</v>
      </c>
      <c r="N4">
        <f>(J4/M4-1)*1000000</f>
        <v>-2.3933999999670164</v>
      </c>
      <c r="O4">
        <f>N4+P$1</f>
        <v>-4.7916300001018728</v>
      </c>
    </row>
    <row r="5" spans="1:16" x14ac:dyDescent="0.25">
      <c r="A5" s="2">
        <v>45062.039259259262</v>
      </c>
      <c r="B5" t="s">
        <v>23</v>
      </c>
      <c r="C5">
        <v>9.9999784110000007</v>
      </c>
      <c r="D5" s="1">
        <v>7.4200000000000003E-8</v>
      </c>
      <c r="E5">
        <v>-1.7494E-4</v>
      </c>
      <c r="F5" s="1">
        <v>8.5600000000000004E-7</v>
      </c>
      <c r="G5">
        <v>1591.5</v>
      </c>
      <c r="H5">
        <v>15</v>
      </c>
      <c r="J5">
        <f t="shared" si="0"/>
        <v>9.9999785340000003</v>
      </c>
      <c r="K5">
        <f t="shared" ref="K5:K30" si="1">E5-E$3</f>
        <v>-2.0353999999999999E-4</v>
      </c>
      <c r="L5">
        <f t="shared" ref="L5:L30" si="2">K5*0.000000001/(2*PI()*J5*G5*0.000000000001)</f>
        <v>-2.0354675874889414E-6</v>
      </c>
      <c r="M5">
        <v>10</v>
      </c>
      <c r="N5">
        <f t="shared" ref="N5:N30" si="3">(J5/M5-1)*1000000</f>
        <v>-2.1465999999747964</v>
      </c>
      <c r="O5">
        <f t="shared" ref="O5:O30" si="4">N5+P$1</f>
        <v>-4.5448300001096529</v>
      </c>
    </row>
    <row r="6" spans="1:16" x14ac:dyDescent="0.25">
      <c r="A6" s="2">
        <v>45062.04042824074</v>
      </c>
      <c r="B6" t="s">
        <v>24</v>
      </c>
      <c r="C6">
        <v>99.999819700000003</v>
      </c>
      <c r="D6" s="1">
        <v>8.9400000000000006E-8</v>
      </c>
      <c r="E6">
        <v>1.7423E-3</v>
      </c>
      <c r="F6" s="1">
        <v>8.9999999999999996E-7</v>
      </c>
      <c r="G6">
        <v>1591.5</v>
      </c>
      <c r="H6">
        <v>15</v>
      </c>
      <c r="J6">
        <f t="shared" si="0"/>
        <v>99.99981982300001</v>
      </c>
      <c r="K6">
        <f t="shared" si="1"/>
        <v>1.7137000000000001E-3</v>
      </c>
      <c r="L6">
        <f t="shared" si="2"/>
        <v>1.7137563141634296E-6</v>
      </c>
      <c r="M6">
        <v>100</v>
      </c>
      <c r="N6">
        <f t="shared" si="3"/>
        <v>-1.8017699998651437</v>
      </c>
      <c r="O6">
        <f t="shared" si="4"/>
        <v>-4.2</v>
      </c>
    </row>
    <row r="7" spans="1:16" x14ac:dyDescent="0.25">
      <c r="A7" s="2">
        <v>45062.041307870371</v>
      </c>
      <c r="B7" t="s">
        <v>25</v>
      </c>
      <c r="C7">
        <v>99.999822300000005</v>
      </c>
      <c r="D7" s="1">
        <v>6.3199999999999997E-8</v>
      </c>
      <c r="E7">
        <v>2.1094999999999998E-3</v>
      </c>
      <c r="F7" s="1">
        <v>9.2200000000000002E-7</v>
      </c>
      <c r="G7">
        <v>1591.5</v>
      </c>
      <c r="H7">
        <v>15</v>
      </c>
      <c r="I7" t="s">
        <v>168</v>
      </c>
      <c r="J7">
        <f t="shared" si="0"/>
        <v>99.999822423000012</v>
      </c>
      <c r="K7">
        <f t="shared" si="1"/>
        <v>2.0808999999999997E-3</v>
      </c>
      <c r="L7">
        <f t="shared" si="2"/>
        <v>2.080968326674722E-6</v>
      </c>
      <c r="M7">
        <v>100</v>
      </c>
      <c r="N7">
        <f t="shared" si="3"/>
        <v>-1.7757699999343401</v>
      </c>
      <c r="O7">
        <f t="shared" si="4"/>
        <v>-4.1740000000691966</v>
      </c>
    </row>
    <row r="8" spans="1:16" x14ac:dyDescent="0.25">
      <c r="A8" s="2">
        <v>45062.001377314817</v>
      </c>
      <c r="B8" t="s">
        <v>26</v>
      </c>
      <c r="C8">
        <v>9.9999761889999998</v>
      </c>
      <c r="D8" s="1">
        <v>7.3799999999999999E-8</v>
      </c>
      <c r="E8">
        <v>-2.9607E-4</v>
      </c>
      <c r="F8" s="1">
        <v>6.6199999999999997E-7</v>
      </c>
      <c r="G8">
        <v>1591.5</v>
      </c>
      <c r="H8">
        <v>15</v>
      </c>
      <c r="J8">
        <f t="shared" si="0"/>
        <v>9.9999763119999994</v>
      </c>
      <c r="K8">
        <f t="shared" si="1"/>
        <v>-3.2466999999999999E-4</v>
      </c>
      <c r="L8">
        <f t="shared" si="2"/>
        <v>-3.2468085313570872E-6</v>
      </c>
      <c r="M8">
        <v>10</v>
      </c>
      <c r="N8">
        <f t="shared" si="3"/>
        <v>-2.368800000041027</v>
      </c>
      <c r="O8">
        <f t="shared" si="4"/>
        <v>-4.7670300001758834</v>
      </c>
    </row>
    <row r="9" spans="1:16" x14ac:dyDescent="0.25">
      <c r="A9" s="2">
        <v>45062.002453703702</v>
      </c>
      <c r="B9" t="s">
        <v>28</v>
      </c>
      <c r="C9">
        <v>9.9999739979999998</v>
      </c>
      <c r="D9" s="1">
        <v>6.2900000000000001E-8</v>
      </c>
      <c r="E9">
        <v>-2.5575000000000001E-4</v>
      </c>
      <c r="F9" s="1">
        <v>7.6199999999999997E-7</v>
      </c>
      <c r="G9">
        <v>1591.5</v>
      </c>
      <c r="H9">
        <v>15</v>
      </c>
      <c r="J9">
        <f t="shared" si="0"/>
        <v>9.9999741209999993</v>
      </c>
      <c r="K9">
        <f t="shared" si="1"/>
        <v>-2.8435E-4</v>
      </c>
      <c r="L9">
        <f t="shared" si="2"/>
        <v>-2.8435956761376337E-6</v>
      </c>
      <c r="M9">
        <v>10</v>
      </c>
      <c r="N9">
        <f t="shared" si="3"/>
        <v>-2.587900000072807</v>
      </c>
      <c r="O9">
        <f t="shared" si="4"/>
        <v>-4.9861300002076634</v>
      </c>
    </row>
    <row r="10" spans="1:16" x14ac:dyDescent="0.25">
      <c r="A10" s="2">
        <v>45062.003275462965</v>
      </c>
      <c r="B10" t="s">
        <v>29</v>
      </c>
      <c r="C10">
        <v>99.999788229999993</v>
      </c>
      <c r="D10" s="1">
        <v>8.9999999999999999E-8</v>
      </c>
      <c r="E10">
        <v>7.7499999999999997E-4</v>
      </c>
      <c r="F10" s="1">
        <v>8.9400000000000004E-7</v>
      </c>
      <c r="G10">
        <v>1591.5</v>
      </c>
      <c r="H10">
        <v>15</v>
      </c>
      <c r="J10">
        <f t="shared" si="0"/>
        <v>99.999788353</v>
      </c>
      <c r="K10">
        <f t="shared" si="1"/>
        <v>7.4639999999999993E-4</v>
      </c>
      <c r="L10">
        <f t="shared" si="2"/>
        <v>7.4642476246730522E-7</v>
      </c>
      <c r="M10">
        <v>100</v>
      </c>
      <c r="N10">
        <f t="shared" si="3"/>
        <v>-2.116470000035342</v>
      </c>
      <c r="O10">
        <f t="shared" si="4"/>
        <v>-4.5147000001701985</v>
      </c>
    </row>
    <row r="11" spans="1:16" x14ac:dyDescent="0.25">
      <c r="A11" s="2">
        <v>45062.004108796296</v>
      </c>
      <c r="B11" t="s">
        <v>30</v>
      </c>
      <c r="C11">
        <v>99.99987136</v>
      </c>
      <c r="D11" s="1">
        <v>1.36E-7</v>
      </c>
      <c r="E11">
        <v>8.5740000000000002E-4</v>
      </c>
      <c r="F11" s="1">
        <v>9.1699999999999997E-7</v>
      </c>
      <c r="G11">
        <v>1591.5</v>
      </c>
      <c r="H11">
        <v>15</v>
      </c>
      <c r="J11">
        <f t="shared" si="0"/>
        <v>99.999871483000007</v>
      </c>
      <c r="K11">
        <f t="shared" si="1"/>
        <v>8.2879999999999998E-4</v>
      </c>
      <c r="L11">
        <f t="shared" si="2"/>
        <v>8.2882680715358248E-7</v>
      </c>
      <c r="M11">
        <v>100</v>
      </c>
      <c r="N11">
        <f t="shared" si="3"/>
        <v>-1.2851699999760768</v>
      </c>
      <c r="O11">
        <f t="shared" si="4"/>
        <v>-3.6834000001109333</v>
      </c>
    </row>
    <row r="12" spans="1:16" x14ac:dyDescent="0.25">
      <c r="A12" s="2">
        <v>45062.017245370371</v>
      </c>
      <c r="B12" t="s">
        <v>31</v>
      </c>
      <c r="C12">
        <v>10.00019912</v>
      </c>
      <c r="D12" s="1">
        <v>9.8000000000000004E-8</v>
      </c>
      <c r="E12">
        <v>9.898000000000001E-4</v>
      </c>
      <c r="F12" s="1">
        <v>1.1200000000000001E-6</v>
      </c>
      <c r="G12">
        <v>1591.5</v>
      </c>
      <c r="H12">
        <v>15</v>
      </c>
      <c r="I12" t="s">
        <v>169</v>
      </c>
      <c r="J12">
        <f t="shared" si="0"/>
        <v>10.000199242999999</v>
      </c>
      <c r="K12">
        <f t="shared" si="1"/>
        <v>9.6120000000000005E-4</v>
      </c>
      <c r="L12">
        <f t="shared" si="2"/>
        <v>9.6121070277472728E-6</v>
      </c>
      <c r="M12">
        <v>10</v>
      </c>
      <c r="N12">
        <f t="shared" si="3"/>
        <v>19.924299999862782</v>
      </c>
      <c r="O12">
        <f t="shared" si="4"/>
        <v>17.526069999727927</v>
      </c>
    </row>
    <row r="13" spans="1:16" x14ac:dyDescent="0.25">
      <c r="A13" s="2">
        <v>45062.01898148148</v>
      </c>
      <c r="B13" t="s">
        <v>33</v>
      </c>
      <c r="C13">
        <v>100.00409399999999</v>
      </c>
      <c r="D13">
        <v>0</v>
      </c>
      <c r="E13">
        <v>9.0734000000000006E-3</v>
      </c>
      <c r="F13" s="1">
        <v>3.5499999999999999E-6</v>
      </c>
      <c r="G13">
        <v>1591.5</v>
      </c>
      <c r="H13">
        <v>15</v>
      </c>
      <c r="J13">
        <f t="shared" si="0"/>
        <v>100.004094123</v>
      </c>
      <c r="K13">
        <f t="shared" si="1"/>
        <v>9.0448000000000004E-3</v>
      </c>
      <c r="L13">
        <f t="shared" si="2"/>
        <v>9.0447106238231035E-6</v>
      </c>
      <c r="M13">
        <v>100</v>
      </c>
      <c r="N13">
        <f t="shared" si="3"/>
        <v>40.941229999980067</v>
      </c>
      <c r="O13">
        <f t="shared" si="4"/>
        <v>38.542999999845208</v>
      </c>
    </row>
    <row r="14" spans="1:16" x14ac:dyDescent="0.25">
      <c r="A14" s="2">
        <v>45062.021319444444</v>
      </c>
      <c r="B14" t="s">
        <v>34</v>
      </c>
      <c r="C14">
        <v>1000.032326</v>
      </c>
      <c r="D14" s="1">
        <v>4.8999999999999997E-6</v>
      </c>
      <c r="E14">
        <v>0.20747399999999999</v>
      </c>
      <c r="F14" s="1">
        <v>2.73E-5</v>
      </c>
      <c r="G14">
        <v>1591.5</v>
      </c>
      <c r="H14">
        <v>1.5</v>
      </c>
      <c r="J14">
        <f t="shared" si="0"/>
        <v>1000.032326123</v>
      </c>
      <c r="K14">
        <f t="shared" si="1"/>
        <v>0.2074454</v>
      </c>
      <c r="L14">
        <f t="shared" si="2"/>
        <v>2.0744513721749615E-5</v>
      </c>
      <c r="M14">
        <v>1000</v>
      </c>
      <c r="N14">
        <f t="shared" si="3"/>
        <v>32.326122999970508</v>
      </c>
      <c r="O14">
        <f t="shared" si="4"/>
        <v>29.927892999835652</v>
      </c>
    </row>
    <row r="15" spans="1:16" x14ac:dyDescent="0.25">
      <c r="A15" s="2">
        <v>45062.023287037038</v>
      </c>
      <c r="B15" t="s">
        <v>35</v>
      </c>
      <c r="C15">
        <v>1000.016393</v>
      </c>
      <c r="D15" s="1">
        <v>4.5800000000000002E-6</v>
      </c>
      <c r="E15">
        <v>0.21234500000000001</v>
      </c>
      <c r="F15" s="1">
        <v>2.5000000000000001E-5</v>
      </c>
      <c r="G15">
        <v>1591.5</v>
      </c>
      <c r="H15">
        <v>1.5</v>
      </c>
      <c r="J15">
        <f t="shared" si="0"/>
        <v>1000.0163931229999</v>
      </c>
      <c r="K15">
        <f t="shared" si="1"/>
        <v>0.21231640000000002</v>
      </c>
      <c r="L15">
        <f t="shared" si="2"/>
        <v>2.1231951382459406E-5</v>
      </c>
      <c r="M15">
        <v>1000</v>
      </c>
      <c r="N15">
        <f t="shared" si="3"/>
        <v>16.393122999946996</v>
      </c>
      <c r="O15">
        <f t="shared" si="4"/>
        <v>13.994892999812141</v>
      </c>
    </row>
    <row r="16" spans="1:16" x14ac:dyDescent="0.25">
      <c r="A16" s="2">
        <v>45062.024375000001</v>
      </c>
      <c r="B16" t="s">
        <v>36</v>
      </c>
      <c r="C16">
        <v>4.9999539589999999</v>
      </c>
      <c r="D16" s="1">
        <v>1.02E-7</v>
      </c>
      <c r="E16">
        <v>2.6244000000000001E-4</v>
      </c>
      <c r="F16" s="1">
        <v>7.8000000000000005E-7</v>
      </c>
      <c r="G16">
        <v>1591.5</v>
      </c>
      <c r="H16">
        <v>15</v>
      </c>
      <c r="J16">
        <f t="shared" si="0"/>
        <v>4.9999540820000004</v>
      </c>
      <c r="K16">
        <f t="shared" si="1"/>
        <v>2.3384000000000002E-4</v>
      </c>
      <c r="L16">
        <f t="shared" si="2"/>
        <v>4.6769882098495344E-6</v>
      </c>
      <c r="M16">
        <v>5</v>
      </c>
      <c r="N16">
        <f t="shared" si="3"/>
        <v>-9.1835999999068108</v>
      </c>
      <c r="O16">
        <f t="shared" si="4"/>
        <v>-11.581830000041666</v>
      </c>
    </row>
    <row r="17" spans="1:15" x14ac:dyDescent="0.25">
      <c r="A17" s="2">
        <v>45062.02548611111</v>
      </c>
      <c r="B17" t="s">
        <v>38</v>
      </c>
      <c r="C17">
        <v>5.0001047810000001</v>
      </c>
      <c r="D17" s="1">
        <v>5.7900000000000002E-8</v>
      </c>
      <c r="E17" s="1">
        <v>-9.3499999999999996E-5</v>
      </c>
      <c r="F17" s="1">
        <v>2.79E-6</v>
      </c>
      <c r="G17">
        <v>1591.5</v>
      </c>
      <c r="H17">
        <v>15</v>
      </c>
      <c r="J17">
        <f t="shared" si="0"/>
        <v>5.0001049040000005</v>
      </c>
      <c r="K17">
        <f t="shared" si="1"/>
        <v>-1.2209999999999999E-4</v>
      </c>
      <c r="L17">
        <f t="shared" si="2"/>
        <v>-2.4420246112466205E-6</v>
      </c>
      <c r="M17">
        <v>5</v>
      </c>
      <c r="N17">
        <f t="shared" si="3"/>
        <v>20.980800000014455</v>
      </c>
      <c r="O17">
        <f t="shared" si="4"/>
        <v>18.582569999879599</v>
      </c>
    </row>
    <row r="18" spans="1:15" x14ac:dyDescent="0.25">
      <c r="A18" s="2">
        <v>45062.026875000003</v>
      </c>
      <c r="B18" t="s">
        <v>40</v>
      </c>
      <c r="C18">
        <v>0.50005214200000003</v>
      </c>
      <c r="D18" s="1">
        <v>9.7800000000000002E-8</v>
      </c>
      <c r="E18" s="1">
        <v>7.8499999999999997E-5</v>
      </c>
      <c r="F18" s="1">
        <v>1.0300000000000001E-6</v>
      </c>
      <c r="G18">
        <v>1591.5</v>
      </c>
      <c r="H18">
        <v>15</v>
      </c>
      <c r="I18" t="s">
        <v>170</v>
      </c>
      <c r="J18">
        <f t="shared" si="0"/>
        <v>0.500052265</v>
      </c>
      <c r="K18">
        <f t="shared" si="1"/>
        <v>4.9899999999999993E-5</v>
      </c>
      <c r="L18">
        <f t="shared" si="2"/>
        <v>9.9792668393209526E-6</v>
      </c>
      <c r="M18">
        <v>0.5</v>
      </c>
      <c r="N18">
        <f t="shared" si="3"/>
        <v>104.52999999999157</v>
      </c>
      <c r="O18">
        <f t="shared" si="4"/>
        <v>102.13176999985672</v>
      </c>
    </row>
    <row r="19" spans="1:15" x14ac:dyDescent="0.25">
      <c r="A19" s="2">
        <v>45062.03020833333</v>
      </c>
      <c r="B19" t="s">
        <v>42</v>
      </c>
      <c r="C19">
        <v>1000.160875</v>
      </c>
      <c r="D19" s="1">
        <v>5.0000000000000004E-6</v>
      </c>
      <c r="E19">
        <v>0.239957</v>
      </c>
      <c r="F19">
        <v>4.9916000000000001E-4</v>
      </c>
      <c r="G19">
        <v>1591.5</v>
      </c>
      <c r="H19">
        <v>1.5</v>
      </c>
      <c r="I19" t="s">
        <v>171</v>
      </c>
      <c r="J19">
        <f t="shared" si="0"/>
        <v>1000.160875123</v>
      </c>
      <c r="K19">
        <f t="shared" si="1"/>
        <v>0.23992840000000001</v>
      </c>
      <c r="L19">
        <f t="shared" si="2"/>
        <v>2.3989725851366642E-5</v>
      </c>
      <c r="M19">
        <v>1000</v>
      </c>
      <c r="N19">
        <f t="shared" si="3"/>
        <v>160.87512300000384</v>
      </c>
      <c r="O19">
        <f t="shared" si="4"/>
        <v>158.47689299986899</v>
      </c>
    </row>
    <row r="20" spans="1:15" x14ac:dyDescent="0.25">
      <c r="A20" s="2">
        <v>45062.034722222219</v>
      </c>
      <c r="B20" t="s">
        <v>44</v>
      </c>
      <c r="C20">
        <v>10.000400880000001</v>
      </c>
      <c r="D20" s="1">
        <v>5.9999999999999995E-8</v>
      </c>
      <c r="E20">
        <v>4.9246999999999995E-4</v>
      </c>
      <c r="F20" s="1">
        <v>1.4100000000000001E-6</v>
      </c>
      <c r="G20">
        <v>1591.5</v>
      </c>
      <c r="H20">
        <v>15</v>
      </c>
      <c r="J20">
        <f t="shared" si="0"/>
        <v>10.000401003</v>
      </c>
      <c r="K20">
        <f t="shared" si="1"/>
        <v>4.6386999999999996E-4</v>
      </c>
      <c r="L20">
        <f t="shared" si="2"/>
        <v>4.6386580633203142E-6</v>
      </c>
      <c r="M20">
        <v>10</v>
      </c>
      <c r="N20">
        <f t="shared" si="3"/>
        <v>40.100300000123212</v>
      </c>
      <c r="O20">
        <f t="shared" si="4"/>
        <v>37.702069999988353</v>
      </c>
    </row>
    <row r="21" spans="1:15" x14ac:dyDescent="0.25">
      <c r="A21" s="2">
        <v>45062.037129629629</v>
      </c>
      <c r="B21" t="s">
        <v>46</v>
      </c>
      <c r="C21">
        <v>10.000139620000001</v>
      </c>
      <c r="D21" s="1">
        <v>1.9399999999999999E-7</v>
      </c>
      <c r="E21">
        <v>4.9706000000000001E-4</v>
      </c>
      <c r="F21" s="1">
        <v>1.2500000000000001E-6</v>
      </c>
      <c r="G21">
        <v>1591.5</v>
      </c>
      <c r="H21">
        <v>15</v>
      </c>
      <c r="J21">
        <f t="shared" si="0"/>
        <v>10.000139743</v>
      </c>
      <c r="K21">
        <f t="shared" si="1"/>
        <v>4.6846000000000002E-4</v>
      </c>
      <c r="L21">
        <f t="shared" si="2"/>
        <v>4.6846800353991422E-6</v>
      </c>
      <c r="M21">
        <v>10</v>
      </c>
      <c r="N21">
        <f t="shared" si="3"/>
        <v>13.974300000052509</v>
      </c>
      <c r="O21">
        <f t="shared" si="4"/>
        <v>11.576069999917653</v>
      </c>
    </row>
    <row r="22" spans="1:15" x14ac:dyDescent="0.25">
      <c r="A22" s="2">
        <v>45062.03802083333</v>
      </c>
      <c r="B22" t="s">
        <v>47</v>
      </c>
      <c r="C22">
        <v>10.0001166</v>
      </c>
      <c r="D22" s="1">
        <v>1.2599999999999999E-7</v>
      </c>
      <c r="E22">
        <v>4.8213999999999999E-4</v>
      </c>
      <c r="F22" s="1">
        <v>1.61E-6</v>
      </c>
      <c r="G22">
        <v>1591.5</v>
      </c>
      <c r="H22">
        <v>15</v>
      </c>
      <c r="J22">
        <f t="shared" si="0"/>
        <v>10.000116723</v>
      </c>
      <c r="K22">
        <f t="shared" si="1"/>
        <v>4.5354E-4</v>
      </c>
      <c r="L22">
        <f t="shared" si="2"/>
        <v>4.5354879268960411E-6</v>
      </c>
      <c r="M22">
        <v>10</v>
      </c>
      <c r="N22">
        <f t="shared" si="3"/>
        <v>11.672299999876401</v>
      </c>
      <c r="O22">
        <f t="shared" si="4"/>
        <v>9.2740699997415454</v>
      </c>
    </row>
    <row r="23" spans="1:15" x14ac:dyDescent="0.25">
      <c r="A23" s="2">
        <v>45062.038807870369</v>
      </c>
      <c r="B23" t="s">
        <v>48</v>
      </c>
      <c r="C23">
        <v>10.00021066</v>
      </c>
      <c r="D23" s="1">
        <v>1.5599999999999999E-7</v>
      </c>
      <c r="E23">
        <v>5.1537000000000002E-4</v>
      </c>
      <c r="F23" s="1">
        <v>1.3400000000000001E-6</v>
      </c>
      <c r="G23">
        <v>1591.5</v>
      </c>
      <c r="H23">
        <v>15</v>
      </c>
      <c r="J23">
        <f t="shared" si="0"/>
        <v>10.000210783</v>
      </c>
      <c r="K23">
        <f t="shared" si="1"/>
        <v>4.8677000000000003E-4</v>
      </c>
      <c r="L23">
        <f t="shared" si="2"/>
        <v>4.8677485836211688E-6</v>
      </c>
      <c r="M23">
        <v>10</v>
      </c>
      <c r="N23">
        <f t="shared" si="3"/>
        <v>21.078300000088035</v>
      </c>
      <c r="O23">
        <f t="shared" si="4"/>
        <v>18.680069999953179</v>
      </c>
    </row>
    <row r="24" spans="1:15" x14ac:dyDescent="0.25">
      <c r="A24" s="2">
        <v>45062.039629629631</v>
      </c>
      <c r="B24" t="s">
        <v>49</v>
      </c>
      <c r="C24">
        <v>10.000007099999999</v>
      </c>
      <c r="D24" s="1">
        <v>7.7499999999999999E-8</v>
      </c>
      <c r="E24">
        <v>4.8305E-4</v>
      </c>
      <c r="F24" s="1">
        <v>1.3799999999999999E-6</v>
      </c>
      <c r="G24">
        <v>1591.5</v>
      </c>
      <c r="H24">
        <v>15</v>
      </c>
      <c r="J24">
        <f t="shared" si="0"/>
        <v>10.000007222999999</v>
      </c>
      <c r="K24">
        <f t="shared" si="1"/>
        <v>4.5445000000000001E-4</v>
      </c>
      <c r="L24">
        <f t="shared" si="2"/>
        <v>4.5446378665197161E-6</v>
      </c>
      <c r="M24">
        <v>10</v>
      </c>
      <c r="N24">
        <f t="shared" si="3"/>
        <v>0.72229999981132664</v>
      </c>
      <c r="O24">
        <f t="shared" si="4"/>
        <v>-1.6759300003235298</v>
      </c>
    </row>
    <row r="25" spans="1:15" x14ac:dyDescent="0.25">
      <c r="A25" s="2">
        <v>45062.040763888886</v>
      </c>
      <c r="B25" t="s">
        <v>50</v>
      </c>
      <c r="C25">
        <v>10.000216099999999</v>
      </c>
      <c r="D25" s="1">
        <v>1.55E-7</v>
      </c>
      <c r="E25">
        <v>5.1570999999999995E-4</v>
      </c>
      <c r="F25" s="1">
        <v>1.2100000000000001E-6</v>
      </c>
      <c r="G25">
        <v>1591.5</v>
      </c>
      <c r="H25">
        <v>15</v>
      </c>
      <c r="J25">
        <f t="shared" si="0"/>
        <v>10.000216222999999</v>
      </c>
      <c r="K25">
        <f t="shared" si="1"/>
        <v>4.8710999999999996E-4</v>
      </c>
      <c r="L25">
        <f t="shared" si="2"/>
        <v>4.8711459677083942E-6</v>
      </c>
      <c r="M25">
        <v>10</v>
      </c>
      <c r="N25">
        <f t="shared" si="3"/>
        <v>21.622299999801697</v>
      </c>
      <c r="O25">
        <f t="shared" si="4"/>
        <v>19.224069999666842</v>
      </c>
    </row>
    <row r="26" spans="1:15" x14ac:dyDescent="0.25">
      <c r="A26" s="2">
        <v>45062.041631944441</v>
      </c>
      <c r="B26" t="s">
        <v>51</v>
      </c>
      <c r="C26">
        <v>10.00034394</v>
      </c>
      <c r="D26" s="1">
        <v>1.43E-7</v>
      </c>
      <c r="E26">
        <v>5.0115999999999995E-4</v>
      </c>
      <c r="F26" s="1">
        <v>1.17E-6</v>
      </c>
      <c r="G26">
        <v>1591.5</v>
      </c>
      <c r="H26">
        <v>15</v>
      </c>
      <c r="J26">
        <f t="shared" si="0"/>
        <v>10.000344063</v>
      </c>
      <c r="K26">
        <f t="shared" si="1"/>
        <v>4.7255999999999996E-4</v>
      </c>
      <c r="L26">
        <f t="shared" si="2"/>
        <v>4.7255841840886551E-6</v>
      </c>
      <c r="M26">
        <v>10</v>
      </c>
      <c r="N26">
        <f t="shared" si="3"/>
        <v>34.406299999956147</v>
      </c>
      <c r="O26">
        <f t="shared" si="4"/>
        <v>32.008069999821288</v>
      </c>
    </row>
    <row r="27" spans="1:15" x14ac:dyDescent="0.25">
      <c r="A27" s="2">
        <v>45062.000787037039</v>
      </c>
      <c r="B27" t="s">
        <v>53</v>
      </c>
      <c r="C27">
        <v>10.000251459999999</v>
      </c>
      <c r="D27" s="1">
        <v>1.85E-7</v>
      </c>
      <c r="E27">
        <v>5.0193999999999998E-4</v>
      </c>
      <c r="F27" s="1">
        <v>1.1000000000000001E-6</v>
      </c>
      <c r="G27">
        <v>1591.5</v>
      </c>
      <c r="H27">
        <v>15</v>
      </c>
      <c r="J27">
        <f t="shared" si="0"/>
        <v>10.000251582999999</v>
      </c>
      <c r="K27">
        <f t="shared" si="1"/>
        <v>4.7333999999999999E-4</v>
      </c>
      <c r="L27">
        <f t="shared" si="2"/>
        <v>4.7334279312185981E-6</v>
      </c>
      <c r="M27">
        <v>10</v>
      </c>
      <c r="N27">
        <f t="shared" si="3"/>
        <v>25.158299999938905</v>
      </c>
      <c r="O27">
        <f t="shared" si="4"/>
        <v>22.760069999804049</v>
      </c>
    </row>
    <row r="28" spans="1:15" x14ac:dyDescent="0.25">
      <c r="A28" s="2">
        <v>45062.002337962964</v>
      </c>
      <c r="B28" t="s">
        <v>54</v>
      </c>
      <c r="C28">
        <v>10.00037931</v>
      </c>
      <c r="D28" s="1">
        <v>1.37E-7</v>
      </c>
      <c r="E28">
        <v>5.0878999999999996E-4</v>
      </c>
      <c r="F28" s="1">
        <v>1.4699999999999999E-6</v>
      </c>
      <c r="G28">
        <v>1591.5</v>
      </c>
      <c r="H28">
        <v>15</v>
      </c>
      <c r="J28">
        <f t="shared" si="0"/>
        <v>10.000379432999999</v>
      </c>
      <c r="K28">
        <f t="shared" si="1"/>
        <v>4.8018999999999997E-4</v>
      </c>
      <c r="L28">
        <f t="shared" si="2"/>
        <v>4.8018669451043625E-6</v>
      </c>
      <c r="M28">
        <v>10</v>
      </c>
      <c r="N28">
        <f t="shared" si="3"/>
        <v>37.94329999995405</v>
      </c>
      <c r="O28">
        <f t="shared" si="4"/>
        <v>35.545069999819191</v>
      </c>
    </row>
    <row r="29" spans="1:15" x14ac:dyDescent="0.25">
      <c r="A29" s="2">
        <v>45062.00340277778</v>
      </c>
      <c r="B29" t="s">
        <v>55</v>
      </c>
      <c r="C29">
        <v>10.000439</v>
      </c>
      <c r="D29" s="1">
        <v>1.18E-7</v>
      </c>
      <c r="E29">
        <v>4.9845E-4</v>
      </c>
      <c r="F29" s="1">
        <v>1.1999999999999999E-6</v>
      </c>
      <c r="G29">
        <v>1591.5</v>
      </c>
      <c r="H29">
        <v>15</v>
      </c>
      <c r="J29">
        <f t="shared" si="0"/>
        <v>10.000439123</v>
      </c>
      <c r="K29">
        <f t="shared" si="1"/>
        <v>4.6985000000000001E-4</v>
      </c>
      <c r="L29">
        <f t="shared" si="2"/>
        <v>4.6984396129581915E-6</v>
      </c>
      <c r="M29">
        <v>10</v>
      </c>
      <c r="N29">
        <f t="shared" si="3"/>
        <v>43.912300000004123</v>
      </c>
      <c r="O29">
        <f t="shared" si="4"/>
        <v>41.514069999869264</v>
      </c>
    </row>
    <row r="30" spans="1:15" x14ac:dyDescent="0.25">
      <c r="A30" s="2">
        <v>45062.004467592589</v>
      </c>
      <c r="B30" t="s">
        <v>56</v>
      </c>
      <c r="C30">
        <v>10.00024406</v>
      </c>
      <c r="D30" s="1">
        <v>6.6300000000000005E-8</v>
      </c>
      <c r="E30">
        <v>4.9226000000000001E-4</v>
      </c>
      <c r="F30" s="1">
        <v>7.7599999999999996E-7</v>
      </c>
      <c r="G30">
        <v>1591.5</v>
      </c>
      <c r="H30">
        <v>15</v>
      </c>
      <c r="J30">
        <f t="shared" si="0"/>
        <v>10.000244183</v>
      </c>
      <c r="K30">
        <f t="shared" si="1"/>
        <v>4.6366000000000002E-4</v>
      </c>
      <c r="L30">
        <f t="shared" si="2"/>
        <v>4.6366307910340196E-6</v>
      </c>
      <c r="M30">
        <v>10</v>
      </c>
      <c r="N30">
        <f t="shared" si="3"/>
        <v>24.418299999995341</v>
      </c>
      <c r="O30">
        <f t="shared" si="4"/>
        <v>22.020069999860485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47F4-B60B-4AEF-9855-8CA534D70E6F}">
  <dimension ref="A1:P30"/>
  <sheetViews>
    <sheetView workbookViewId="0">
      <selection activeCell="A4" sqref="A4"/>
    </sheetView>
  </sheetViews>
  <sheetFormatPr defaultRowHeight="15" x14ac:dyDescent="0.25"/>
  <cols>
    <col min="1" max="1" width="14.85546875" bestFit="1" customWidth="1"/>
    <col min="9" max="9" width="87.140625" bestFit="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-2.3977199999816365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2">
        <v>45063.012800925928</v>
      </c>
      <c r="B3" t="s">
        <v>17</v>
      </c>
      <c r="C3" s="1">
        <v>-1.8199999999999999E-7</v>
      </c>
      <c r="D3" s="1">
        <v>9.1399999999999998E-8</v>
      </c>
      <c r="E3" s="1">
        <v>2.8799999999999999E-5</v>
      </c>
      <c r="F3" s="1">
        <v>5.2200000000000004E-7</v>
      </c>
      <c r="G3">
        <v>1591.5</v>
      </c>
      <c r="H3">
        <v>15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2">
        <v>45063.014143518521</v>
      </c>
      <c r="B4" t="s">
        <v>21</v>
      </c>
      <c r="C4">
        <v>9.9999759340000001</v>
      </c>
      <c r="D4" s="1">
        <v>5.7299999999999997E-8</v>
      </c>
      <c r="E4">
        <v>-1.6594E-4</v>
      </c>
      <c r="F4" s="1">
        <v>9.9999999999999995E-7</v>
      </c>
      <c r="G4">
        <v>1591.5</v>
      </c>
      <c r="H4">
        <v>15</v>
      </c>
      <c r="I4" t="s">
        <v>166</v>
      </c>
      <c r="J4">
        <f t="shared" ref="J4:J30" si="0">C4-C$3</f>
        <v>9.9999761160000009</v>
      </c>
      <c r="K4">
        <f>E4-E$3</f>
        <v>-1.9474E-4</v>
      </c>
      <c r="L4">
        <f>K4*0.000000001/(2*PI()*J4*G4*0.000000000001)</f>
        <v>-1.9474651362591715E-6</v>
      </c>
      <c r="M4">
        <v>10</v>
      </c>
      <c r="N4">
        <f>(J4/M4-1)*1000000</f>
        <v>-2.3883999998863814</v>
      </c>
      <c r="O4">
        <f>N4+P$1</f>
        <v>-4.7861199998680179</v>
      </c>
    </row>
    <row r="5" spans="1:16" x14ac:dyDescent="0.25">
      <c r="A5" s="2">
        <v>45063.015057870369</v>
      </c>
      <c r="B5" t="s">
        <v>23</v>
      </c>
      <c r="C5">
        <v>9.9999784579999993</v>
      </c>
      <c r="D5" s="1">
        <v>9.4100000000000002E-8</v>
      </c>
      <c r="E5">
        <v>-1.4163000000000001E-4</v>
      </c>
      <c r="F5" s="1">
        <v>1.0100000000000001E-6</v>
      </c>
      <c r="G5">
        <v>1591.5</v>
      </c>
      <c r="H5">
        <v>15</v>
      </c>
      <c r="I5" t="s">
        <v>172</v>
      </c>
      <c r="J5">
        <f t="shared" si="0"/>
        <v>9.9999786400000001</v>
      </c>
      <c r="K5">
        <f t="shared" ref="K5:K30" si="1">E5-E$3</f>
        <v>-1.7043000000000001E-4</v>
      </c>
      <c r="L5">
        <f t="shared" ref="L5:L30" si="2">K5*0.000000001/(2*PI()*J5*G5*0.000000000001)</f>
        <v>-1.7043565749166857E-6</v>
      </c>
      <c r="M5">
        <v>10</v>
      </c>
      <c r="N5">
        <f t="shared" ref="N5:N30" si="3">(J5/M5-1)*1000000</f>
        <v>-2.1359999999859269</v>
      </c>
      <c r="O5">
        <f t="shared" ref="O5:O30" si="4">N5+P$1</f>
        <v>-4.5337199999675635</v>
      </c>
    </row>
    <row r="6" spans="1:16" x14ac:dyDescent="0.25">
      <c r="A6" s="2">
        <v>45063.01599537037</v>
      </c>
      <c r="B6" t="s">
        <v>24</v>
      </c>
      <c r="C6">
        <v>99.999819590000001</v>
      </c>
      <c r="D6" s="1">
        <v>8.3099999999999996E-8</v>
      </c>
      <c r="E6">
        <v>1.7576E-3</v>
      </c>
      <c r="F6" s="1">
        <v>7.9999999999999996E-7</v>
      </c>
      <c r="G6">
        <v>1591.5</v>
      </c>
      <c r="H6">
        <v>15</v>
      </c>
      <c r="J6">
        <f t="shared" si="0"/>
        <v>99.999819771999995</v>
      </c>
      <c r="K6">
        <f t="shared" si="1"/>
        <v>1.7288E-3</v>
      </c>
      <c r="L6">
        <f t="shared" si="2"/>
        <v>1.7288568112486069E-6</v>
      </c>
      <c r="M6">
        <v>100</v>
      </c>
      <c r="N6">
        <f t="shared" si="3"/>
        <v>-1.8022800000183636</v>
      </c>
      <c r="O6">
        <f t="shared" si="4"/>
        <v>-4.2</v>
      </c>
    </row>
    <row r="7" spans="1:16" x14ac:dyDescent="0.25">
      <c r="A7" s="2">
        <v>45063.01730324074</v>
      </c>
      <c r="B7" t="s">
        <v>25</v>
      </c>
      <c r="C7">
        <v>99.999822230000007</v>
      </c>
      <c r="D7" s="1">
        <v>9.9999999999999995E-8</v>
      </c>
      <c r="E7">
        <v>2.1212000000000002E-3</v>
      </c>
      <c r="F7" s="1">
        <v>1.17E-6</v>
      </c>
      <c r="G7">
        <v>1591.5</v>
      </c>
      <c r="H7">
        <v>15</v>
      </c>
      <c r="J7">
        <f t="shared" si="0"/>
        <v>99.999822412</v>
      </c>
      <c r="K7">
        <f t="shared" si="1"/>
        <v>2.0924000000000003E-3</v>
      </c>
      <c r="L7">
        <f t="shared" si="2"/>
        <v>2.0924687045091814E-6</v>
      </c>
      <c r="M7">
        <v>100</v>
      </c>
      <c r="N7">
        <f t="shared" si="3"/>
        <v>-1.7758799999434416</v>
      </c>
      <c r="O7">
        <f t="shared" si="4"/>
        <v>-4.1735999999250781</v>
      </c>
    </row>
    <row r="8" spans="1:16" x14ac:dyDescent="0.25">
      <c r="A8" s="2">
        <v>45063.018090277779</v>
      </c>
      <c r="B8" t="s">
        <v>26</v>
      </c>
      <c r="C8">
        <v>9.9999763470000005</v>
      </c>
      <c r="D8" s="1">
        <v>6.2299999999999995E-8</v>
      </c>
      <c r="E8">
        <v>-2.6504000000000002E-4</v>
      </c>
      <c r="F8" s="1">
        <v>9.8200000000000008E-7</v>
      </c>
      <c r="G8">
        <v>1591.5</v>
      </c>
      <c r="H8">
        <v>15</v>
      </c>
      <c r="I8" t="s">
        <v>173</v>
      </c>
      <c r="J8">
        <f t="shared" si="0"/>
        <v>9.9999765290000013</v>
      </c>
      <c r="K8">
        <f t="shared" si="1"/>
        <v>-2.9384000000000002E-4</v>
      </c>
      <c r="L8">
        <f t="shared" si="2"/>
        <v>-2.9384981616755531E-6</v>
      </c>
      <c r="M8">
        <v>10</v>
      </c>
      <c r="N8">
        <f t="shared" si="3"/>
        <v>-2.3470999999108955</v>
      </c>
      <c r="O8">
        <f t="shared" si="4"/>
        <v>-4.744819999892532</v>
      </c>
    </row>
    <row r="9" spans="1:16" x14ac:dyDescent="0.25">
      <c r="A9" s="2">
        <v>45063.019421296296</v>
      </c>
      <c r="B9" t="s">
        <v>28</v>
      </c>
      <c r="C9">
        <v>9.9999740030000002</v>
      </c>
      <c r="D9" s="1">
        <v>9.76E-8</v>
      </c>
      <c r="E9">
        <v>-2.2844E-4</v>
      </c>
      <c r="F9" s="1">
        <v>5.4600000000000005E-7</v>
      </c>
      <c r="G9">
        <v>1591.5</v>
      </c>
      <c r="H9">
        <v>15</v>
      </c>
      <c r="J9">
        <f t="shared" si="0"/>
        <v>9.999974185000001</v>
      </c>
      <c r="K9">
        <f t="shared" si="1"/>
        <v>-2.5724E-4</v>
      </c>
      <c r="L9">
        <f t="shared" si="2"/>
        <v>-2.5724865378868254E-6</v>
      </c>
      <c r="M9">
        <v>10</v>
      </c>
      <c r="N9">
        <f t="shared" si="3"/>
        <v>-2.5814999998763355</v>
      </c>
      <c r="O9">
        <f t="shared" si="4"/>
        <v>-4.979219999857972</v>
      </c>
    </row>
    <row r="10" spans="1:16" x14ac:dyDescent="0.25">
      <c r="A10" s="2">
        <v>45063.020150462966</v>
      </c>
      <c r="B10" t="s">
        <v>29</v>
      </c>
      <c r="C10">
        <v>99.999788249999995</v>
      </c>
      <c r="D10" s="1">
        <v>1.02E-7</v>
      </c>
      <c r="E10">
        <v>7.9650000000000001E-4</v>
      </c>
      <c r="F10" s="1">
        <v>6.7100000000000001E-7</v>
      </c>
      <c r="G10">
        <v>1591.5</v>
      </c>
      <c r="H10">
        <v>15</v>
      </c>
      <c r="J10">
        <f t="shared" si="0"/>
        <v>99.999788431999988</v>
      </c>
      <c r="K10">
        <f t="shared" si="1"/>
        <v>7.6769999999999996E-4</v>
      </c>
      <c r="L10">
        <f t="shared" si="2"/>
        <v>7.6772546850677307E-7</v>
      </c>
      <c r="M10">
        <v>100</v>
      </c>
      <c r="N10">
        <f t="shared" si="3"/>
        <v>-2.1156800000809994</v>
      </c>
      <c r="O10">
        <f t="shared" si="4"/>
        <v>-4.513400000062636</v>
      </c>
    </row>
    <row r="11" spans="1:16" x14ac:dyDescent="0.25">
      <c r="A11" s="2">
        <v>45063.021238425928</v>
      </c>
      <c r="B11" t="s">
        <v>30</v>
      </c>
      <c r="C11">
        <v>99.999870389999998</v>
      </c>
      <c r="D11" s="1">
        <v>1.2200000000000001E-7</v>
      </c>
      <c r="E11">
        <v>8.7949999999999996E-4</v>
      </c>
      <c r="F11" s="1">
        <v>9.2200000000000002E-7</v>
      </c>
      <c r="G11">
        <v>1591.5</v>
      </c>
      <c r="H11">
        <v>15</v>
      </c>
      <c r="J11">
        <f t="shared" si="0"/>
        <v>99.999870571999992</v>
      </c>
      <c r="K11">
        <f t="shared" si="1"/>
        <v>8.5069999999999992E-4</v>
      </c>
      <c r="L11">
        <f t="shared" si="2"/>
        <v>8.5072752324911542E-7</v>
      </c>
      <c r="M11">
        <v>100</v>
      </c>
      <c r="N11">
        <f t="shared" si="3"/>
        <v>-1.2942800000637078</v>
      </c>
      <c r="O11">
        <f t="shared" si="4"/>
        <v>-3.6920000000453443</v>
      </c>
    </row>
    <row r="12" spans="1:16" x14ac:dyDescent="0.25">
      <c r="A12" s="2">
        <v>45063.023125</v>
      </c>
      <c r="B12" t="s">
        <v>31</v>
      </c>
      <c r="C12">
        <v>10.00019818</v>
      </c>
      <c r="D12" s="1">
        <v>1.54E-7</v>
      </c>
      <c r="E12">
        <v>8.7551999999999997E-4</v>
      </c>
      <c r="F12" s="1">
        <v>2.1100000000000001E-6</v>
      </c>
      <c r="G12">
        <v>1591.5</v>
      </c>
      <c r="H12">
        <v>15</v>
      </c>
      <c r="I12" t="s">
        <v>174</v>
      </c>
      <c r="J12">
        <f t="shared" si="0"/>
        <v>10.000198362000001</v>
      </c>
      <c r="K12">
        <f t="shared" si="1"/>
        <v>8.4671999999999992E-4</v>
      </c>
      <c r="L12">
        <f t="shared" si="2"/>
        <v>8.4672950265761423E-6</v>
      </c>
      <c r="M12">
        <v>10</v>
      </c>
      <c r="N12">
        <f t="shared" si="3"/>
        <v>19.836200000122872</v>
      </c>
      <c r="O12">
        <f t="shared" si="4"/>
        <v>17.438480000141237</v>
      </c>
    </row>
    <row r="13" spans="1:16" x14ac:dyDescent="0.25">
      <c r="A13" s="2">
        <v>45063.025138888886</v>
      </c>
      <c r="B13" t="s">
        <v>33</v>
      </c>
      <c r="C13">
        <v>100.0040944</v>
      </c>
      <c r="D13" s="1">
        <v>4.8999999999999997E-7</v>
      </c>
      <c r="E13">
        <v>9.0019999999999996E-3</v>
      </c>
      <c r="F13" s="1">
        <v>1.9E-6</v>
      </c>
      <c r="G13">
        <v>1591.5</v>
      </c>
      <c r="H13">
        <v>15</v>
      </c>
      <c r="J13">
        <f t="shared" si="0"/>
        <v>100.00409458199999</v>
      </c>
      <c r="K13">
        <f t="shared" si="1"/>
        <v>8.9731999999999989E-3</v>
      </c>
      <c r="L13">
        <f t="shared" si="2"/>
        <v>8.9731112901534965E-6</v>
      </c>
      <c r="M13">
        <v>100</v>
      </c>
      <c r="N13">
        <f t="shared" si="3"/>
        <v>40.945819999915756</v>
      </c>
      <c r="O13">
        <f t="shared" si="4"/>
        <v>38.548099999934117</v>
      </c>
    </row>
    <row r="14" spans="1:16" x14ac:dyDescent="0.25">
      <c r="A14" s="2">
        <v>45063.026817129627</v>
      </c>
      <c r="B14" t="s">
        <v>34</v>
      </c>
      <c r="C14">
        <v>1000.0323100000001</v>
      </c>
      <c r="D14" s="1">
        <v>1.1399999999999999E-13</v>
      </c>
      <c r="E14">
        <v>0.204129</v>
      </c>
      <c r="F14" s="1">
        <v>3.7499999999999997E-5</v>
      </c>
      <c r="G14">
        <v>1591.5</v>
      </c>
      <c r="H14">
        <v>1.5</v>
      </c>
      <c r="J14">
        <f t="shared" si="0"/>
        <v>1000.0323101820001</v>
      </c>
      <c r="K14">
        <f t="shared" si="1"/>
        <v>0.20410020000000001</v>
      </c>
      <c r="L14">
        <f t="shared" si="2"/>
        <v>2.0409994470849708E-5</v>
      </c>
      <c r="M14">
        <v>1000</v>
      </c>
      <c r="N14">
        <f t="shared" si="3"/>
        <v>32.310182000117038</v>
      </c>
      <c r="O14">
        <f t="shared" si="4"/>
        <v>29.912462000135402</v>
      </c>
    </row>
    <row r="15" spans="1:16" x14ac:dyDescent="0.25">
      <c r="A15" s="2">
        <v>45063.028240740743</v>
      </c>
      <c r="B15" t="s">
        <v>35</v>
      </c>
      <c r="C15">
        <v>1000.016208</v>
      </c>
      <c r="D15" s="1">
        <v>1.8899999999999999E-5</v>
      </c>
      <c r="E15">
        <v>0.20946500000000001</v>
      </c>
      <c r="F15" s="1">
        <v>3.9100000000000002E-5</v>
      </c>
      <c r="G15">
        <v>1591.5</v>
      </c>
      <c r="H15">
        <v>1.5</v>
      </c>
      <c r="J15">
        <f t="shared" si="0"/>
        <v>1000.016208182</v>
      </c>
      <c r="K15">
        <f t="shared" si="1"/>
        <v>0.20943620000000002</v>
      </c>
      <c r="L15">
        <f t="shared" si="2"/>
        <v>2.0943931031696619E-5</v>
      </c>
      <c r="M15">
        <v>1000</v>
      </c>
      <c r="N15">
        <f t="shared" si="3"/>
        <v>16.208182000099214</v>
      </c>
      <c r="O15">
        <f t="shared" si="4"/>
        <v>13.810462000117578</v>
      </c>
    </row>
    <row r="16" spans="1:16" x14ac:dyDescent="0.25">
      <c r="A16" s="2">
        <v>45063.02983796296</v>
      </c>
      <c r="B16" t="s">
        <v>36</v>
      </c>
      <c r="C16">
        <v>4.9999537839999997</v>
      </c>
      <c r="D16" s="1">
        <v>2.6899999999999999E-7</v>
      </c>
      <c r="E16" s="1">
        <v>-3.3599999999999997E-5</v>
      </c>
      <c r="F16" s="1">
        <v>4.46E-5</v>
      </c>
      <c r="G16">
        <v>1591.5</v>
      </c>
      <c r="H16">
        <v>15</v>
      </c>
      <c r="J16">
        <f t="shared" si="0"/>
        <v>4.9999539659999996</v>
      </c>
      <c r="K16">
        <f t="shared" si="1"/>
        <v>-6.2399999999999999E-5</v>
      </c>
      <c r="L16">
        <f t="shared" si="2"/>
        <v>-1.2480502525891876E-6</v>
      </c>
      <c r="M16">
        <v>5</v>
      </c>
      <c r="N16">
        <f t="shared" si="3"/>
        <v>-9.2068000000500305</v>
      </c>
      <c r="O16">
        <f t="shared" si="4"/>
        <v>-11.604520000031666</v>
      </c>
    </row>
    <row r="17" spans="1:15" x14ac:dyDescent="0.25">
      <c r="A17" s="2">
        <v>45063.030891203707</v>
      </c>
      <c r="B17" t="s">
        <v>38</v>
      </c>
      <c r="C17">
        <v>5.0001056549999996</v>
      </c>
      <c r="D17" s="1">
        <v>1.99E-7</v>
      </c>
      <c r="E17">
        <v>-1.9945999999999999E-4</v>
      </c>
      <c r="F17" s="1">
        <v>1.43E-5</v>
      </c>
      <c r="G17">
        <v>1591.5</v>
      </c>
      <c r="H17">
        <v>15</v>
      </c>
      <c r="J17">
        <f t="shared" si="0"/>
        <v>5.0001058369999996</v>
      </c>
      <c r="K17">
        <f t="shared" si="1"/>
        <v>-2.2825999999999999E-4</v>
      </c>
      <c r="L17">
        <f t="shared" si="2"/>
        <v>-4.5652451576693637E-6</v>
      </c>
      <c r="M17">
        <v>5</v>
      </c>
      <c r="N17">
        <f t="shared" si="3"/>
        <v>21.167399999910685</v>
      </c>
      <c r="O17">
        <f t="shared" si="4"/>
        <v>18.76967999992905</v>
      </c>
    </row>
    <row r="18" spans="1:15" x14ac:dyDescent="0.25">
      <c r="A18" s="2">
        <v>45063.032604166663</v>
      </c>
      <c r="B18" t="s">
        <v>40</v>
      </c>
      <c r="C18">
        <v>0.50005175099999999</v>
      </c>
      <c r="D18" s="1">
        <v>1.29E-7</v>
      </c>
      <c r="E18" s="1">
        <v>7.5599999999999994E-5</v>
      </c>
      <c r="F18" s="1">
        <v>1.44E-6</v>
      </c>
      <c r="G18">
        <v>1591.5</v>
      </c>
      <c r="H18">
        <v>15</v>
      </c>
      <c r="J18">
        <f t="shared" si="0"/>
        <v>0.50005193299999995</v>
      </c>
      <c r="K18">
        <f t="shared" si="1"/>
        <v>4.6799999999999999E-5</v>
      </c>
      <c r="L18">
        <f t="shared" si="2"/>
        <v>9.3593186003151734E-6</v>
      </c>
      <c r="M18">
        <v>0.5</v>
      </c>
      <c r="N18">
        <f t="shared" si="3"/>
        <v>103.86599999989699</v>
      </c>
      <c r="O18">
        <f t="shared" si="4"/>
        <v>101.46827999991535</v>
      </c>
    </row>
    <row r="19" spans="1:15" x14ac:dyDescent="0.25">
      <c r="A19" s="2">
        <v>45063.03398148148</v>
      </c>
      <c r="B19" t="s">
        <v>42</v>
      </c>
      <c r="C19">
        <v>1000.157118</v>
      </c>
      <c r="D19" s="1">
        <v>3.9999999999999998E-6</v>
      </c>
      <c r="E19">
        <v>0.51893100000000003</v>
      </c>
      <c r="F19">
        <v>1.6948181999999999E-2</v>
      </c>
      <c r="G19">
        <v>1591.5</v>
      </c>
      <c r="H19">
        <v>1.5</v>
      </c>
      <c r="I19" t="s">
        <v>175</v>
      </c>
      <c r="J19">
        <f t="shared" si="0"/>
        <v>1000.157118182</v>
      </c>
      <c r="K19">
        <f t="shared" si="1"/>
        <v>0.51890219999999998</v>
      </c>
      <c r="L19">
        <f t="shared" si="2"/>
        <v>5.1883679805865596E-5</v>
      </c>
      <c r="M19">
        <v>1000</v>
      </c>
      <c r="N19">
        <f t="shared" si="3"/>
        <v>157.11818199992678</v>
      </c>
      <c r="O19">
        <f t="shared" si="4"/>
        <v>154.72046199994514</v>
      </c>
    </row>
    <row r="20" spans="1:15" x14ac:dyDescent="0.25">
      <c r="A20" s="2">
        <v>45063.036354166667</v>
      </c>
      <c r="B20" t="s">
        <v>44</v>
      </c>
      <c r="C20">
        <v>10.000385290000001</v>
      </c>
      <c r="D20" s="1">
        <v>1.5099999999999999E-7</v>
      </c>
      <c r="E20">
        <v>4.8599E-4</v>
      </c>
      <c r="F20" s="1">
        <v>1.4100000000000001E-6</v>
      </c>
      <c r="G20">
        <v>1591.5</v>
      </c>
      <c r="H20">
        <v>15</v>
      </c>
      <c r="I20" t="s">
        <v>176</v>
      </c>
      <c r="J20">
        <f t="shared" si="0"/>
        <v>10.000385472000001</v>
      </c>
      <c r="K20">
        <f t="shared" si="1"/>
        <v>4.5719000000000001E-4</v>
      </c>
      <c r="L20">
        <f t="shared" si="2"/>
        <v>4.5718657675130921E-6</v>
      </c>
      <c r="M20">
        <v>10</v>
      </c>
      <c r="N20">
        <f t="shared" si="3"/>
        <v>38.547200000182968</v>
      </c>
      <c r="O20">
        <f t="shared" si="4"/>
        <v>36.149480000201329</v>
      </c>
    </row>
    <row r="21" spans="1:15" x14ac:dyDescent="0.25">
      <c r="A21" s="2">
        <v>45063.038576388892</v>
      </c>
      <c r="B21" t="s">
        <v>46</v>
      </c>
      <c r="C21">
        <v>10.000139109999999</v>
      </c>
      <c r="D21" s="1">
        <v>1.6999999999999999E-7</v>
      </c>
      <c r="E21">
        <v>4.8746999999999999E-4</v>
      </c>
      <c r="F21" s="1">
        <v>2.04E-6</v>
      </c>
      <c r="G21">
        <v>1591.5</v>
      </c>
      <c r="H21">
        <v>15</v>
      </c>
      <c r="J21">
        <f t="shared" si="0"/>
        <v>10.000139292</v>
      </c>
      <c r="K21">
        <f t="shared" si="1"/>
        <v>4.5867E-4</v>
      </c>
      <c r="L21">
        <f t="shared" si="2"/>
        <v>4.5867785696591927E-6</v>
      </c>
      <c r="M21">
        <v>10</v>
      </c>
      <c r="N21">
        <f t="shared" si="3"/>
        <v>13.929200000095676</v>
      </c>
      <c r="O21">
        <f t="shared" si="4"/>
        <v>11.531480000114041</v>
      </c>
    </row>
    <row r="22" spans="1:15" x14ac:dyDescent="0.25">
      <c r="A22" s="2">
        <v>45063.039594907408</v>
      </c>
      <c r="B22" t="s">
        <v>47</v>
      </c>
      <c r="C22">
        <v>10.000109399999999</v>
      </c>
      <c r="D22" s="1">
        <v>1.3400000000000001E-7</v>
      </c>
      <c r="E22">
        <v>4.7699999999999999E-4</v>
      </c>
      <c r="F22" s="1">
        <v>1.8199999999999999E-6</v>
      </c>
      <c r="G22">
        <v>1591.5</v>
      </c>
      <c r="H22">
        <v>15</v>
      </c>
      <c r="J22">
        <f t="shared" si="0"/>
        <v>10.000109582</v>
      </c>
      <c r="K22">
        <f t="shared" si="1"/>
        <v>4.482E-4</v>
      </c>
      <c r="L22">
        <f t="shared" si="2"/>
        <v>4.4820900922640582E-6</v>
      </c>
      <c r="M22">
        <v>10</v>
      </c>
      <c r="N22">
        <f t="shared" si="3"/>
        <v>10.958200000077412</v>
      </c>
      <c r="O22">
        <f t="shared" si="4"/>
        <v>8.5604800000957759</v>
      </c>
    </row>
    <row r="23" spans="1:15" x14ac:dyDescent="0.25">
      <c r="A23" s="2">
        <v>45063.04078703704</v>
      </c>
      <c r="B23" t="s">
        <v>48</v>
      </c>
      <c r="C23">
        <v>10.000216249999999</v>
      </c>
      <c r="D23" s="1">
        <v>1.02E-7</v>
      </c>
      <c r="E23">
        <v>5.0827999999999995E-4</v>
      </c>
      <c r="F23" s="1">
        <v>8.8899999999999998E-7</v>
      </c>
      <c r="G23">
        <v>1591.5</v>
      </c>
      <c r="H23">
        <v>15</v>
      </c>
      <c r="J23">
        <f t="shared" si="0"/>
        <v>10.000216432</v>
      </c>
      <c r="K23">
        <f t="shared" si="1"/>
        <v>4.7947999999999996E-4</v>
      </c>
      <c r="L23">
        <f t="shared" si="2"/>
        <v>4.7948451474687029E-6</v>
      </c>
      <c r="M23">
        <v>10</v>
      </c>
      <c r="N23">
        <f t="shared" si="3"/>
        <v>21.643199999976659</v>
      </c>
      <c r="O23">
        <f t="shared" si="4"/>
        <v>19.245479999995023</v>
      </c>
    </row>
    <row r="24" spans="1:15" x14ac:dyDescent="0.25">
      <c r="A24" s="2">
        <v>45063.00099537037</v>
      </c>
      <c r="B24" t="s">
        <v>49</v>
      </c>
      <c r="C24">
        <v>9.9999679530000005</v>
      </c>
      <c r="D24" s="1">
        <v>1.35E-7</v>
      </c>
      <c r="E24">
        <v>4.7671999999999998E-4</v>
      </c>
      <c r="F24" s="1">
        <v>9.5000000000000001E-7</v>
      </c>
      <c r="G24">
        <v>1591.5</v>
      </c>
      <c r="H24">
        <v>15</v>
      </c>
      <c r="J24">
        <f t="shared" si="0"/>
        <v>9.9999681350000014</v>
      </c>
      <c r="K24">
        <f t="shared" si="1"/>
        <v>4.4791999999999998E-4</v>
      </c>
      <c r="L24">
        <f t="shared" si="2"/>
        <v>4.4793533943971813E-6</v>
      </c>
      <c r="M24">
        <v>10</v>
      </c>
      <c r="N24">
        <f t="shared" si="3"/>
        <v>-3.1864999998632015</v>
      </c>
      <c r="O24">
        <f t="shared" si="4"/>
        <v>-5.5842199998448381</v>
      </c>
    </row>
    <row r="25" spans="1:15" x14ac:dyDescent="0.25">
      <c r="A25" s="2">
        <v>45063.001666666663</v>
      </c>
      <c r="B25" t="s">
        <v>50</v>
      </c>
      <c r="C25">
        <v>10.000224429999999</v>
      </c>
      <c r="D25" s="1">
        <v>1.42E-7</v>
      </c>
      <c r="E25">
        <v>5.0911999999999995E-4</v>
      </c>
      <c r="F25" s="1">
        <v>6.9699999999999995E-7</v>
      </c>
      <c r="G25">
        <v>1591.5</v>
      </c>
      <c r="H25">
        <v>15</v>
      </c>
      <c r="I25" t="s">
        <v>177</v>
      </c>
      <c r="J25">
        <f t="shared" si="0"/>
        <v>10.000224612</v>
      </c>
      <c r="K25">
        <f t="shared" si="1"/>
        <v>4.8031999999999995E-4</v>
      </c>
      <c r="L25">
        <f t="shared" si="2"/>
        <v>4.8032412975961124E-6</v>
      </c>
      <c r="M25">
        <v>10</v>
      </c>
      <c r="N25">
        <f t="shared" si="3"/>
        <v>22.461199999934678</v>
      </c>
      <c r="O25">
        <f t="shared" si="4"/>
        <v>20.063479999953042</v>
      </c>
    </row>
    <row r="26" spans="1:15" x14ac:dyDescent="0.25">
      <c r="A26" s="2">
        <v>45063.003946759258</v>
      </c>
      <c r="B26" t="s">
        <v>51</v>
      </c>
      <c r="C26">
        <v>10.000323420000001</v>
      </c>
      <c r="D26" s="1">
        <v>1.17E-7</v>
      </c>
      <c r="E26">
        <v>5.0055E-4</v>
      </c>
      <c r="F26" s="1">
        <v>1.5200000000000001E-6</v>
      </c>
      <c r="G26">
        <v>1591.5</v>
      </c>
      <c r="H26">
        <v>15</v>
      </c>
      <c r="J26">
        <f t="shared" si="0"/>
        <v>10.000323602000002</v>
      </c>
      <c r="K26">
        <f t="shared" si="1"/>
        <v>4.7175E-4</v>
      </c>
      <c r="L26">
        <f t="shared" si="2"/>
        <v>4.7174938633303035E-6</v>
      </c>
      <c r="M26">
        <v>10</v>
      </c>
      <c r="N26">
        <f t="shared" si="3"/>
        <v>32.360200000081107</v>
      </c>
      <c r="O26">
        <f t="shared" si="4"/>
        <v>29.962480000099472</v>
      </c>
    </row>
    <row r="27" spans="1:15" x14ac:dyDescent="0.25">
      <c r="A27" s="2">
        <v>45063.004918981482</v>
      </c>
      <c r="B27" t="s">
        <v>53</v>
      </c>
      <c r="C27">
        <v>10.000241559999999</v>
      </c>
      <c r="D27" s="1">
        <v>6.6300000000000005E-8</v>
      </c>
      <c r="E27">
        <v>4.9918E-4</v>
      </c>
      <c r="F27" s="1">
        <v>8.9299999999999996E-7</v>
      </c>
      <c r="G27">
        <v>1591.5</v>
      </c>
      <c r="H27">
        <v>15</v>
      </c>
      <c r="J27">
        <f t="shared" si="0"/>
        <v>10.000241742</v>
      </c>
      <c r="K27">
        <f t="shared" si="1"/>
        <v>4.7038000000000001E-4</v>
      </c>
      <c r="L27">
        <f t="shared" si="2"/>
        <v>4.7038323854775875E-6</v>
      </c>
      <c r="M27">
        <v>10</v>
      </c>
      <c r="N27">
        <f t="shared" si="3"/>
        <v>24.174200000004475</v>
      </c>
      <c r="O27">
        <f t="shared" si="4"/>
        <v>21.77648000002284</v>
      </c>
    </row>
    <row r="28" spans="1:15" x14ac:dyDescent="0.25">
      <c r="A28" s="2">
        <v>45063.005972222221</v>
      </c>
      <c r="B28" t="s">
        <v>54</v>
      </c>
      <c r="C28">
        <v>10.00037105</v>
      </c>
      <c r="D28" s="1">
        <v>8.0599999999999994E-8</v>
      </c>
      <c r="E28">
        <v>5.0367999999999995E-4</v>
      </c>
      <c r="F28" s="1">
        <v>1.2500000000000001E-6</v>
      </c>
      <c r="G28">
        <v>1591.5</v>
      </c>
      <c r="H28">
        <v>15</v>
      </c>
      <c r="J28">
        <f t="shared" si="0"/>
        <v>10.000371232000001</v>
      </c>
      <c r="K28">
        <f t="shared" si="1"/>
        <v>4.7487999999999995E-4</v>
      </c>
      <c r="L28">
        <f t="shared" si="2"/>
        <v>4.7487712049489601E-6</v>
      </c>
      <c r="M28">
        <v>10</v>
      </c>
      <c r="N28">
        <f t="shared" si="3"/>
        <v>37.123200000044321</v>
      </c>
      <c r="O28">
        <f t="shared" si="4"/>
        <v>34.725480000062682</v>
      </c>
    </row>
    <row r="29" spans="1:15" x14ac:dyDescent="0.25">
      <c r="A29" s="2">
        <v>45063.006712962961</v>
      </c>
      <c r="B29" t="s">
        <v>55</v>
      </c>
      <c r="C29">
        <v>10.000401009999999</v>
      </c>
      <c r="D29" s="1">
        <v>1.3E-7</v>
      </c>
      <c r="E29">
        <v>4.9222000000000003E-4</v>
      </c>
      <c r="F29" s="1">
        <v>1.7400000000000001E-6</v>
      </c>
      <c r="G29">
        <v>1591.5</v>
      </c>
      <c r="H29">
        <v>15</v>
      </c>
      <c r="J29">
        <f t="shared" si="0"/>
        <v>10.000401192</v>
      </c>
      <c r="K29">
        <f t="shared" si="1"/>
        <v>4.6342000000000003E-4</v>
      </c>
      <c r="L29">
        <f t="shared" si="2"/>
        <v>4.6341580164209879E-6</v>
      </c>
      <c r="M29">
        <v>10</v>
      </c>
      <c r="N29">
        <f t="shared" si="3"/>
        <v>40.119199999910649</v>
      </c>
      <c r="O29">
        <f t="shared" si="4"/>
        <v>37.721479999929009</v>
      </c>
    </row>
    <row r="30" spans="1:15" x14ac:dyDescent="0.25">
      <c r="A30" s="2">
        <v>45063.008171296293</v>
      </c>
      <c r="B30" t="s">
        <v>56</v>
      </c>
      <c r="C30">
        <v>10.000219169999999</v>
      </c>
      <c r="D30" s="1">
        <v>1.2700000000000001E-7</v>
      </c>
      <c r="E30">
        <v>4.8941000000000002E-4</v>
      </c>
      <c r="F30" s="1">
        <v>1.1999999999999999E-6</v>
      </c>
      <c r="G30">
        <v>1591.5</v>
      </c>
      <c r="H30">
        <v>15</v>
      </c>
      <c r="J30">
        <f t="shared" si="0"/>
        <v>10.000219352</v>
      </c>
      <c r="K30">
        <f t="shared" si="1"/>
        <v>4.6061000000000002E-4</v>
      </c>
      <c r="L30">
        <f t="shared" si="2"/>
        <v>4.6061420257196292E-6</v>
      </c>
      <c r="M30">
        <v>10</v>
      </c>
      <c r="N30">
        <f t="shared" si="3"/>
        <v>21.935199999933985</v>
      </c>
      <c r="O30">
        <f t="shared" si="4"/>
        <v>19.53747999995235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0D82-A9F0-4FB3-93B7-FDC9CF4E54CF}">
  <dimension ref="A1:P30"/>
  <sheetViews>
    <sheetView workbookViewId="0">
      <selection activeCell="A4" sqref="A4:A30"/>
    </sheetView>
  </sheetViews>
  <sheetFormatPr defaultRowHeight="15" x14ac:dyDescent="0.25"/>
  <cols>
    <col min="1" max="1" width="14.85546875" bestFit="1" customWidth="1"/>
    <col min="9" max="9" width="72" bestFit="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-2.393299999948991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2">
        <v>45069.004629629628</v>
      </c>
      <c r="B3" t="s">
        <v>17</v>
      </c>
      <c r="C3" s="1">
        <v>-1.1999999999999999E-7</v>
      </c>
      <c r="D3" s="1">
        <v>6.4200000000000006E-8</v>
      </c>
      <c r="E3" s="1">
        <v>2.73E-5</v>
      </c>
      <c r="F3" s="1">
        <v>7.7400000000000002E-7</v>
      </c>
      <c r="G3">
        <v>1591.5</v>
      </c>
      <c r="H3">
        <v>15</v>
      </c>
      <c r="I3" t="s">
        <v>178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2">
        <v>45069.006307870368</v>
      </c>
      <c r="B4" t="s">
        <v>21</v>
      </c>
      <c r="C4">
        <v>9.9999758580000009</v>
      </c>
      <c r="D4" s="1">
        <v>9.02E-8</v>
      </c>
      <c r="E4">
        <v>-1.6975000000000001E-4</v>
      </c>
      <c r="F4" s="1">
        <v>9.16E-7</v>
      </c>
      <c r="G4">
        <v>1591.5</v>
      </c>
      <c r="H4">
        <v>15</v>
      </c>
      <c r="I4" t="s">
        <v>179</v>
      </c>
      <c r="J4">
        <f t="shared" ref="J4:J30" si="0">C4-C$3</f>
        <v>9.9999759780000002</v>
      </c>
      <c r="K4">
        <f>E4-E$3</f>
        <v>-1.9704999999999999E-4</v>
      </c>
      <c r="L4">
        <f>K4*0.000000001/(2*PI()*J4*G4*0.000000000001)</f>
        <v>-1.9705659360973863E-6</v>
      </c>
      <c r="M4">
        <v>10</v>
      </c>
      <c r="N4">
        <f>(J4/M4-1)*1000000</f>
        <v>-2.4022000000289978</v>
      </c>
      <c r="O4">
        <f>N4+P$1</f>
        <v>-4.7954999999779888</v>
      </c>
    </row>
    <row r="5" spans="1:16" x14ac:dyDescent="0.25">
      <c r="A5" s="2">
        <v>45069.007581018515</v>
      </c>
      <c r="B5" t="s">
        <v>23</v>
      </c>
      <c r="C5">
        <v>9.9999784159999994</v>
      </c>
      <c r="D5" s="1">
        <v>1.1300000000000001E-7</v>
      </c>
      <c r="E5">
        <v>-1.4344E-4</v>
      </c>
      <c r="F5" s="1">
        <v>1.28E-6</v>
      </c>
      <c r="G5">
        <v>1591.5</v>
      </c>
      <c r="H5">
        <v>15</v>
      </c>
      <c r="J5">
        <f t="shared" si="0"/>
        <v>9.9999785359999986</v>
      </c>
      <c r="K5">
        <f t="shared" ref="K5:K30" si="1">E5-E$3</f>
        <v>-1.7074000000000001E-4</v>
      </c>
      <c r="L5">
        <f t="shared" ref="L5:L30" si="2">K5*0.000000001/(2*PI()*J5*G5*0.000000000001)</f>
        <v>-1.707456695580007E-6</v>
      </c>
      <c r="M5">
        <v>10</v>
      </c>
      <c r="N5">
        <f t="shared" ref="N5:N30" si="3">(J5/M5-1)*1000000</f>
        <v>-2.146400000180293</v>
      </c>
      <c r="O5">
        <f t="shared" ref="O5:O30" si="4">N5+P$1</f>
        <v>-4.539700000129284</v>
      </c>
    </row>
    <row r="6" spans="1:16" x14ac:dyDescent="0.25">
      <c r="A6" s="2">
        <v>45069.008622685185</v>
      </c>
      <c r="B6" t="s">
        <v>24</v>
      </c>
      <c r="C6">
        <v>99.999819209999998</v>
      </c>
      <c r="D6" s="1">
        <v>8.3099999999999996E-8</v>
      </c>
      <c r="E6">
        <v>1.7828E-3</v>
      </c>
      <c r="F6" s="1">
        <v>1.17E-6</v>
      </c>
      <c r="G6">
        <v>1591.5</v>
      </c>
      <c r="H6">
        <v>15</v>
      </c>
      <c r="J6">
        <f t="shared" si="0"/>
        <v>99.999819329999994</v>
      </c>
      <c r="K6">
        <f t="shared" si="1"/>
        <v>1.7554999999999999E-3</v>
      </c>
      <c r="L6">
        <f t="shared" si="2"/>
        <v>1.7555576964146752E-6</v>
      </c>
      <c r="M6">
        <v>100</v>
      </c>
      <c r="N6">
        <f t="shared" si="3"/>
        <v>-1.8067000000510092</v>
      </c>
      <c r="O6">
        <f t="shared" si="4"/>
        <v>-4.2</v>
      </c>
    </row>
    <row r="7" spans="1:16" x14ac:dyDescent="0.25">
      <c r="A7" s="2">
        <v>45069.009548611109</v>
      </c>
      <c r="B7" t="s">
        <v>25</v>
      </c>
      <c r="C7">
        <v>99.999822199999997</v>
      </c>
      <c r="D7" s="1">
        <v>1.2599999999999999E-7</v>
      </c>
      <c r="E7">
        <v>2.1478000000000001E-3</v>
      </c>
      <c r="F7" s="1">
        <v>8.7199999999999997E-7</v>
      </c>
      <c r="G7">
        <v>1591.5</v>
      </c>
      <c r="H7">
        <v>15</v>
      </c>
      <c r="J7">
        <f t="shared" si="0"/>
        <v>99.999822319999993</v>
      </c>
      <c r="K7">
        <f t="shared" si="1"/>
        <v>2.1205E-3</v>
      </c>
      <c r="L7">
        <f t="shared" si="2"/>
        <v>2.1205696291310647E-6</v>
      </c>
      <c r="M7">
        <v>100</v>
      </c>
      <c r="N7">
        <f t="shared" si="3"/>
        <v>-1.7768000000195627</v>
      </c>
      <c r="O7">
        <f t="shared" si="4"/>
        <v>-4.1700999999685537</v>
      </c>
    </row>
    <row r="8" spans="1:16" x14ac:dyDescent="0.25">
      <c r="A8" s="2">
        <v>45069.010520833333</v>
      </c>
      <c r="B8" t="s">
        <v>26</v>
      </c>
      <c r="C8">
        <v>9.9999763900000005</v>
      </c>
      <c r="D8" s="1">
        <v>1.05E-7</v>
      </c>
      <c r="E8">
        <v>-2.7579999999999998E-4</v>
      </c>
      <c r="F8" s="1">
        <v>9.4300000000000001E-7</v>
      </c>
      <c r="G8">
        <v>1591.5</v>
      </c>
      <c r="H8">
        <v>15</v>
      </c>
      <c r="I8" t="s">
        <v>180</v>
      </c>
      <c r="J8">
        <f t="shared" si="0"/>
        <v>9.9999765099999998</v>
      </c>
      <c r="K8">
        <f t="shared" si="1"/>
        <v>-3.0309999999999999E-4</v>
      </c>
      <c r="L8">
        <f t="shared" si="2"/>
        <v>-3.031101260877062E-6</v>
      </c>
      <c r="M8">
        <v>10</v>
      </c>
      <c r="N8">
        <f t="shared" si="3"/>
        <v>-2.3490000000681022</v>
      </c>
      <c r="O8">
        <f t="shared" si="4"/>
        <v>-4.7423000000170932</v>
      </c>
    </row>
    <row r="9" spans="1:16" x14ac:dyDescent="0.25">
      <c r="A9" s="2">
        <v>45069.011712962965</v>
      </c>
      <c r="B9" t="s">
        <v>28</v>
      </c>
      <c r="C9">
        <v>9.999974108</v>
      </c>
      <c r="D9" s="1">
        <v>1.03E-7</v>
      </c>
      <c r="E9">
        <v>-2.3507000000000001E-4</v>
      </c>
      <c r="F9" s="1">
        <v>9.8200000000000008E-7</v>
      </c>
      <c r="G9">
        <v>1591.5</v>
      </c>
      <c r="H9">
        <v>15</v>
      </c>
      <c r="J9">
        <f t="shared" si="0"/>
        <v>9.9999742279999992</v>
      </c>
      <c r="K9">
        <f t="shared" si="1"/>
        <v>-2.6237E-4</v>
      </c>
      <c r="L9">
        <f t="shared" si="2"/>
        <v>-2.6237882523833886E-6</v>
      </c>
      <c r="M9">
        <v>10</v>
      </c>
      <c r="N9">
        <f t="shared" si="3"/>
        <v>-2.5772000000756634</v>
      </c>
      <c r="O9">
        <f t="shared" si="4"/>
        <v>-4.9705000000246544</v>
      </c>
    </row>
    <row r="10" spans="1:16" x14ac:dyDescent="0.25">
      <c r="A10" s="2">
        <v>45069.01289351852</v>
      </c>
      <c r="B10" t="s">
        <v>29</v>
      </c>
      <c r="C10">
        <v>99.999788109999997</v>
      </c>
      <c r="D10" s="1">
        <v>7.0000000000000005E-8</v>
      </c>
      <c r="E10">
        <v>8.1820000000000005E-4</v>
      </c>
      <c r="F10" s="1">
        <v>1.2500000000000001E-6</v>
      </c>
      <c r="G10">
        <v>1591.5</v>
      </c>
      <c r="H10">
        <v>15</v>
      </c>
      <c r="J10">
        <f t="shared" si="0"/>
        <v>99.999788229999993</v>
      </c>
      <c r="K10">
        <f t="shared" si="1"/>
        <v>7.9090000000000009E-4</v>
      </c>
      <c r="L10">
        <f t="shared" si="2"/>
        <v>7.9092623976623873E-7</v>
      </c>
      <c r="M10">
        <v>100</v>
      </c>
      <c r="N10">
        <f t="shared" si="3"/>
        <v>-2.1177000000260904</v>
      </c>
      <c r="O10">
        <f t="shared" si="4"/>
        <v>-4.5109999999750814</v>
      </c>
    </row>
    <row r="11" spans="1:16" x14ac:dyDescent="0.25">
      <c r="A11" s="2">
        <v>45069.014004629629</v>
      </c>
      <c r="B11" t="s">
        <v>30</v>
      </c>
      <c r="C11">
        <v>99.999870470000005</v>
      </c>
      <c r="D11" s="1">
        <v>4.58E-8</v>
      </c>
      <c r="E11">
        <v>8.9849999999999999E-4</v>
      </c>
      <c r="F11" s="1">
        <v>1.1999999999999999E-6</v>
      </c>
      <c r="G11">
        <v>1591.5</v>
      </c>
      <c r="H11">
        <v>15</v>
      </c>
      <c r="J11">
        <f t="shared" si="0"/>
        <v>99.99987059</v>
      </c>
      <c r="K11">
        <f t="shared" si="1"/>
        <v>8.7120000000000003E-4</v>
      </c>
      <c r="L11">
        <f t="shared" si="2"/>
        <v>8.7122818634209637E-7</v>
      </c>
      <c r="M11">
        <v>100</v>
      </c>
      <c r="N11">
        <f t="shared" si="3"/>
        <v>-1.2941000000488145</v>
      </c>
      <c r="O11">
        <f t="shared" si="4"/>
        <v>-3.6873999999978055</v>
      </c>
    </row>
    <row r="12" spans="1:16" x14ac:dyDescent="0.25">
      <c r="A12" s="2">
        <v>45069.015300925923</v>
      </c>
      <c r="B12" t="s">
        <v>31</v>
      </c>
      <c r="C12">
        <v>10.00019771</v>
      </c>
      <c r="D12" s="1">
        <v>1.14E-7</v>
      </c>
      <c r="E12">
        <v>9.6767999999999995E-4</v>
      </c>
      <c r="F12" s="1">
        <v>1.57E-6</v>
      </c>
      <c r="G12">
        <v>1591.5</v>
      </c>
      <c r="H12">
        <v>15</v>
      </c>
      <c r="I12" t="s">
        <v>181</v>
      </c>
      <c r="J12">
        <f t="shared" si="0"/>
        <v>10.000197829999999</v>
      </c>
      <c r="K12">
        <f t="shared" si="1"/>
        <v>9.4037999999999999E-4</v>
      </c>
      <c r="L12">
        <f t="shared" si="2"/>
        <v>9.4039060382262831E-6</v>
      </c>
      <c r="M12">
        <v>10</v>
      </c>
      <c r="N12">
        <f t="shared" si="3"/>
        <v>19.782999999939932</v>
      </c>
      <c r="O12">
        <f t="shared" si="4"/>
        <v>17.389699999990942</v>
      </c>
    </row>
    <row r="13" spans="1:16" x14ac:dyDescent="0.25">
      <c r="A13" s="2">
        <v>45069.017905092594</v>
      </c>
      <c r="B13" t="s">
        <v>33</v>
      </c>
      <c r="C13">
        <v>100.004098</v>
      </c>
      <c r="D13">
        <v>0</v>
      </c>
      <c r="E13">
        <v>8.8438000000000006E-3</v>
      </c>
      <c r="F13" s="1">
        <v>1.3E-6</v>
      </c>
      <c r="G13">
        <v>1591.5</v>
      </c>
      <c r="H13">
        <v>15</v>
      </c>
      <c r="J13">
        <f t="shared" si="0"/>
        <v>100.00409811999999</v>
      </c>
      <c r="K13">
        <f t="shared" si="1"/>
        <v>8.8165000000000014E-3</v>
      </c>
      <c r="L13">
        <f t="shared" si="2"/>
        <v>8.8164125273916123E-6</v>
      </c>
      <c r="M13">
        <v>100</v>
      </c>
      <c r="N13">
        <f t="shared" si="3"/>
        <v>40.98119999995653</v>
      </c>
      <c r="O13">
        <f t="shared" si="4"/>
        <v>38.587900000007537</v>
      </c>
    </row>
    <row r="14" spans="1:16" x14ac:dyDescent="0.25">
      <c r="A14" s="2">
        <v>45069.019930555558</v>
      </c>
      <c r="B14" t="s">
        <v>34</v>
      </c>
      <c r="C14">
        <v>1000.032292</v>
      </c>
      <c r="D14" s="1">
        <v>3.9999999999999998E-6</v>
      </c>
      <c r="E14">
        <v>0.199993</v>
      </c>
      <c r="F14" s="1">
        <v>2.97E-5</v>
      </c>
      <c r="G14">
        <v>1591.5</v>
      </c>
      <c r="H14">
        <v>1.5</v>
      </c>
      <c r="J14">
        <f t="shared" si="0"/>
        <v>1000.03229212</v>
      </c>
      <c r="K14">
        <f t="shared" si="1"/>
        <v>0.1999657</v>
      </c>
      <c r="L14">
        <f t="shared" si="2"/>
        <v>1.9996545349164922E-5</v>
      </c>
      <c r="M14">
        <v>1000</v>
      </c>
      <c r="N14">
        <f t="shared" si="3"/>
        <v>32.292119999999258</v>
      </c>
      <c r="O14">
        <f t="shared" si="4"/>
        <v>29.898820000050268</v>
      </c>
    </row>
    <row r="15" spans="1:16" x14ac:dyDescent="0.25">
      <c r="A15" s="2">
        <v>45069.000254629631</v>
      </c>
      <c r="B15" t="s">
        <v>35</v>
      </c>
      <c r="C15">
        <v>1000.003225</v>
      </c>
      <c r="D15" s="1">
        <v>7.5799999999999999E-5</v>
      </c>
      <c r="E15">
        <v>0.21429100000000001</v>
      </c>
      <c r="F15">
        <v>3.2568199999999999E-4</v>
      </c>
      <c r="G15">
        <v>1591.5</v>
      </c>
      <c r="H15">
        <v>1.5</v>
      </c>
      <c r="J15">
        <f t="shared" si="0"/>
        <v>1000.00322512</v>
      </c>
      <c r="K15">
        <f t="shared" si="1"/>
        <v>0.2142637</v>
      </c>
      <c r="L15">
        <f t="shared" si="2"/>
        <v>2.1426966384094873E-5</v>
      </c>
      <c r="M15">
        <v>1000</v>
      </c>
      <c r="N15">
        <f t="shared" si="3"/>
        <v>3.2251199999500102</v>
      </c>
      <c r="O15">
        <f t="shared" si="4"/>
        <v>0.83182000000101919</v>
      </c>
    </row>
    <row r="16" spans="1:16" x14ac:dyDescent="0.25">
      <c r="A16" s="2">
        <v>45069.001550925925</v>
      </c>
      <c r="B16" t="s">
        <v>36</v>
      </c>
      <c r="C16">
        <v>4.9999559299999996</v>
      </c>
      <c r="D16" s="1">
        <v>8.4299999999999994E-8</v>
      </c>
      <c r="E16">
        <v>-2.0387000000000001E-4</v>
      </c>
      <c r="F16" s="1">
        <v>1.06E-6</v>
      </c>
      <c r="G16">
        <v>1591.5</v>
      </c>
      <c r="H16">
        <v>15</v>
      </c>
      <c r="J16">
        <f t="shared" si="0"/>
        <v>4.9999560499999998</v>
      </c>
      <c r="K16">
        <f t="shared" si="1"/>
        <v>-2.3117E-4</v>
      </c>
      <c r="L16">
        <f t="shared" si="2"/>
        <v>-4.6235842409980264E-6</v>
      </c>
      <c r="M16">
        <v>5</v>
      </c>
      <c r="N16">
        <f t="shared" si="3"/>
        <v>-8.79000000009178</v>
      </c>
      <c r="O16">
        <f t="shared" si="4"/>
        <v>-11.18330000004077</v>
      </c>
    </row>
    <row r="17" spans="1:15" x14ac:dyDescent="0.25">
      <c r="A17" s="2">
        <v>45069.003229166665</v>
      </c>
      <c r="B17" t="s">
        <v>38</v>
      </c>
      <c r="C17">
        <v>5.0001049100000001</v>
      </c>
      <c r="D17" s="1">
        <v>8.4499999999999996E-8</v>
      </c>
      <c r="E17">
        <v>-1.3881000000000001E-4</v>
      </c>
      <c r="F17" s="1">
        <v>1.8899999999999999E-6</v>
      </c>
      <c r="G17">
        <v>1591.5</v>
      </c>
      <c r="H17">
        <v>15</v>
      </c>
      <c r="J17">
        <f t="shared" si="0"/>
        <v>5.0001050300000003</v>
      </c>
      <c r="K17">
        <f t="shared" si="1"/>
        <v>-1.6611000000000002E-4</v>
      </c>
      <c r="L17">
        <f t="shared" si="2"/>
        <v>-3.322233398461461E-6</v>
      </c>
      <c r="M17">
        <v>5</v>
      </c>
      <c r="N17">
        <f t="shared" si="3"/>
        <v>21.00600000010111</v>
      </c>
      <c r="O17">
        <f t="shared" si="4"/>
        <v>18.61270000015212</v>
      </c>
    </row>
    <row r="18" spans="1:15" x14ac:dyDescent="0.25">
      <c r="A18" s="2">
        <v>45069.004328703704</v>
      </c>
      <c r="B18" t="s">
        <v>40</v>
      </c>
      <c r="C18">
        <v>0.50005192600000004</v>
      </c>
      <c r="D18" s="1">
        <v>7.61E-8</v>
      </c>
      <c r="E18" s="1">
        <v>7.9900000000000004E-5</v>
      </c>
      <c r="F18" s="1">
        <v>1.3999999999999999E-6</v>
      </c>
      <c r="G18">
        <v>1591.5</v>
      </c>
      <c r="H18">
        <v>15</v>
      </c>
      <c r="J18">
        <f t="shared" si="0"/>
        <v>0.50005204600000008</v>
      </c>
      <c r="K18">
        <f t="shared" si="1"/>
        <v>5.2600000000000005E-5</v>
      </c>
      <c r="L18">
        <f t="shared" si="2"/>
        <v>1.0519231776246206E-5</v>
      </c>
      <c r="M18">
        <v>0.5</v>
      </c>
      <c r="N18">
        <f t="shared" si="3"/>
        <v>104.09200000016661</v>
      </c>
      <c r="O18">
        <f t="shared" si="4"/>
        <v>101.69870000021761</v>
      </c>
    </row>
    <row r="19" spans="1:15" x14ac:dyDescent="0.25">
      <c r="A19" s="2">
        <v>45069.005520833336</v>
      </c>
      <c r="B19" t="s">
        <v>42</v>
      </c>
      <c r="C19">
        <v>1000.150209</v>
      </c>
      <c r="D19" s="1">
        <v>1.3699999999999999E-5</v>
      </c>
      <c r="E19">
        <v>0.45873000000000003</v>
      </c>
      <c r="F19">
        <v>1.6342463000000002E-2</v>
      </c>
      <c r="G19">
        <v>1591.5</v>
      </c>
      <c r="H19">
        <v>1.5</v>
      </c>
      <c r="I19" t="s">
        <v>182</v>
      </c>
      <c r="J19">
        <f t="shared" si="0"/>
        <v>1000.15020912</v>
      </c>
      <c r="K19">
        <f t="shared" si="1"/>
        <v>0.45870270000000002</v>
      </c>
      <c r="L19">
        <f t="shared" si="2"/>
        <v>4.5864805387660209E-5</v>
      </c>
      <c r="M19">
        <v>1000</v>
      </c>
      <c r="N19">
        <f t="shared" si="3"/>
        <v>150.20912000007769</v>
      </c>
      <c r="O19">
        <f t="shared" si="4"/>
        <v>147.8158200001287</v>
      </c>
    </row>
    <row r="20" spans="1:15" x14ac:dyDescent="0.25">
      <c r="A20" s="2">
        <v>45069.007881944446</v>
      </c>
      <c r="B20" t="s">
        <v>44</v>
      </c>
      <c r="C20">
        <v>10.000407239999999</v>
      </c>
      <c r="D20" s="1">
        <v>1.5599999999999999E-7</v>
      </c>
      <c r="E20">
        <v>-8.0347000000000003E-4</v>
      </c>
      <c r="F20" s="1">
        <v>1.1599999999999999E-6</v>
      </c>
      <c r="G20">
        <v>1591.5</v>
      </c>
      <c r="H20">
        <v>15</v>
      </c>
      <c r="J20">
        <f t="shared" si="0"/>
        <v>10.000407359999999</v>
      </c>
      <c r="K20">
        <f t="shared" si="1"/>
        <v>-8.3076999999999999E-4</v>
      </c>
      <c r="L20">
        <f t="shared" si="2"/>
        <v>-8.3076196123785613E-6</v>
      </c>
      <c r="M20">
        <v>10</v>
      </c>
      <c r="N20">
        <f t="shared" si="3"/>
        <v>40.73599999987465</v>
      </c>
      <c r="O20">
        <f t="shared" si="4"/>
        <v>38.342699999925657</v>
      </c>
    </row>
    <row r="21" spans="1:15" x14ac:dyDescent="0.25">
      <c r="A21" s="2">
        <v>45069.009247685186</v>
      </c>
      <c r="B21" t="s">
        <v>46</v>
      </c>
      <c r="C21">
        <v>10.00016119</v>
      </c>
      <c r="D21" s="1">
        <v>1.2200000000000001E-7</v>
      </c>
      <c r="E21">
        <v>-8.1384000000000003E-4</v>
      </c>
      <c r="F21" s="1">
        <v>1.42E-6</v>
      </c>
      <c r="G21">
        <v>1591.5</v>
      </c>
      <c r="H21">
        <v>15</v>
      </c>
      <c r="J21">
        <f t="shared" si="0"/>
        <v>10.000161309999999</v>
      </c>
      <c r="K21">
        <f t="shared" si="1"/>
        <v>-8.4113999999999999E-4</v>
      </c>
      <c r="L21">
        <f t="shared" si="2"/>
        <v>-8.4115255661043964E-6</v>
      </c>
      <c r="M21">
        <v>10</v>
      </c>
      <c r="N21">
        <f t="shared" si="3"/>
        <v>16.130999999974804</v>
      </c>
      <c r="O21">
        <f t="shared" si="4"/>
        <v>13.737700000025814</v>
      </c>
    </row>
    <row r="22" spans="1:15" x14ac:dyDescent="0.25">
      <c r="A22" s="2">
        <v>45069.009942129633</v>
      </c>
      <c r="B22" t="s">
        <v>47</v>
      </c>
      <c r="C22">
        <v>10.00013111</v>
      </c>
      <c r="D22" s="1">
        <v>1.37E-7</v>
      </c>
      <c r="E22">
        <v>-8.139E-4</v>
      </c>
      <c r="F22" s="1">
        <v>1.44E-6</v>
      </c>
      <c r="G22">
        <v>1591.5</v>
      </c>
      <c r="H22">
        <v>15</v>
      </c>
      <c r="J22">
        <f t="shared" si="0"/>
        <v>10.000131229999999</v>
      </c>
      <c r="K22">
        <f t="shared" si="1"/>
        <v>-8.4119999999999996E-4</v>
      </c>
      <c r="L22">
        <f t="shared" si="2"/>
        <v>-8.4121508784029213E-6</v>
      </c>
      <c r="M22">
        <v>10</v>
      </c>
      <c r="N22">
        <f t="shared" si="3"/>
        <v>13.123000000003771</v>
      </c>
      <c r="O22">
        <f t="shared" si="4"/>
        <v>10.72970000005478</v>
      </c>
    </row>
    <row r="23" spans="1:15" x14ac:dyDescent="0.25">
      <c r="A23" s="2">
        <v>45069.010706018518</v>
      </c>
      <c r="B23" t="s">
        <v>48</v>
      </c>
      <c r="C23">
        <v>10.000238420000001</v>
      </c>
      <c r="D23" s="1">
        <v>1.4000000000000001E-7</v>
      </c>
      <c r="E23">
        <v>-7.8030999999999999E-4</v>
      </c>
      <c r="F23" s="1">
        <v>1.33E-6</v>
      </c>
      <c r="G23">
        <v>1591.5</v>
      </c>
      <c r="H23">
        <v>15</v>
      </c>
      <c r="J23">
        <f t="shared" si="0"/>
        <v>10.00023854</v>
      </c>
      <c r="K23">
        <f t="shared" si="1"/>
        <v>-8.0760999999999995E-4</v>
      </c>
      <c r="L23">
        <f t="shared" si="2"/>
        <v>-8.0761581895534976E-6</v>
      </c>
      <c r="M23">
        <v>10</v>
      </c>
      <c r="N23">
        <f t="shared" si="3"/>
        <v>23.853999999934317</v>
      </c>
      <c r="O23">
        <f t="shared" si="4"/>
        <v>21.460699999985327</v>
      </c>
    </row>
    <row r="24" spans="1:15" x14ac:dyDescent="0.25">
      <c r="A24" s="2">
        <v>45069.011608796296</v>
      </c>
      <c r="B24" t="s">
        <v>49</v>
      </c>
      <c r="C24">
        <v>9.9999900129999997</v>
      </c>
      <c r="D24" s="1">
        <v>1.6E-7</v>
      </c>
      <c r="E24">
        <v>-8.1207000000000002E-4</v>
      </c>
      <c r="F24" s="1">
        <v>1.55E-6</v>
      </c>
      <c r="G24">
        <v>1591.5</v>
      </c>
      <c r="H24">
        <v>15</v>
      </c>
      <c r="J24">
        <f t="shared" si="0"/>
        <v>9.9999901329999989</v>
      </c>
      <c r="K24">
        <f t="shared" si="1"/>
        <v>-8.3936999999999998E-4</v>
      </c>
      <c r="L24">
        <f t="shared" si="2"/>
        <v>-8.3939689850024124E-6</v>
      </c>
      <c r="M24">
        <v>10</v>
      </c>
      <c r="N24">
        <f t="shared" si="3"/>
        <v>-0.98670000014955406</v>
      </c>
      <c r="O24">
        <f t="shared" si="4"/>
        <v>-3.3800000000985451</v>
      </c>
    </row>
    <row r="25" spans="1:15" x14ac:dyDescent="0.25">
      <c r="A25" s="2">
        <v>45069.012326388889</v>
      </c>
      <c r="B25" t="s">
        <v>50</v>
      </c>
      <c r="C25">
        <v>10.00024647</v>
      </c>
      <c r="D25" s="1">
        <v>1.35E-7</v>
      </c>
      <c r="E25">
        <v>-7.6948000000000001E-4</v>
      </c>
      <c r="F25" s="1">
        <v>1.3400000000000001E-6</v>
      </c>
      <c r="G25">
        <v>1591.5</v>
      </c>
      <c r="H25">
        <v>15</v>
      </c>
      <c r="J25">
        <f t="shared" si="0"/>
        <v>10.00024659</v>
      </c>
      <c r="K25">
        <f t="shared" si="1"/>
        <v>-7.9677999999999997E-4</v>
      </c>
      <c r="L25">
        <f t="shared" si="2"/>
        <v>-7.9678509952681433E-6</v>
      </c>
      <c r="M25">
        <v>10</v>
      </c>
      <c r="N25">
        <f t="shared" si="3"/>
        <v>24.658999999926934</v>
      </c>
      <c r="O25">
        <f t="shared" si="4"/>
        <v>22.265699999977944</v>
      </c>
    </row>
    <row r="26" spans="1:15" x14ac:dyDescent="0.25">
      <c r="A26" s="2">
        <v>45069.013078703705</v>
      </c>
      <c r="B26" t="s">
        <v>51</v>
      </c>
      <c r="C26">
        <v>10.000345360000001</v>
      </c>
      <c r="D26" s="1">
        <v>1.36E-7</v>
      </c>
      <c r="E26">
        <v>-7.7625000000000003E-4</v>
      </c>
      <c r="F26" s="1">
        <v>3.49E-6</v>
      </c>
      <c r="G26">
        <v>1591.5</v>
      </c>
      <c r="H26">
        <v>15</v>
      </c>
      <c r="J26">
        <f t="shared" si="0"/>
        <v>10.00034548</v>
      </c>
      <c r="K26">
        <f t="shared" si="1"/>
        <v>-8.0354999999999999E-4</v>
      </c>
      <c r="L26">
        <f t="shared" si="2"/>
        <v>-8.0354719677367349E-6</v>
      </c>
      <c r="M26">
        <v>10</v>
      </c>
      <c r="N26">
        <f t="shared" si="3"/>
        <v>34.547999999912093</v>
      </c>
      <c r="O26">
        <f t="shared" si="4"/>
        <v>32.1546999999631</v>
      </c>
    </row>
    <row r="27" spans="1:15" x14ac:dyDescent="0.25">
      <c r="A27" s="2">
        <v>45069.013854166667</v>
      </c>
      <c r="B27" t="s">
        <v>53</v>
      </c>
      <c r="C27">
        <v>10.00026315</v>
      </c>
      <c r="D27" s="1">
        <v>1.43E-7</v>
      </c>
      <c r="E27">
        <v>-7.7556000000000001E-4</v>
      </c>
      <c r="F27" s="1">
        <v>2.6699999999999998E-6</v>
      </c>
      <c r="G27">
        <v>1591.5</v>
      </c>
      <c r="H27">
        <v>15</v>
      </c>
      <c r="J27">
        <f t="shared" si="0"/>
        <v>10.00026327</v>
      </c>
      <c r="K27">
        <f t="shared" si="1"/>
        <v>-8.0285999999999997E-4</v>
      </c>
      <c r="L27">
        <f t="shared" si="2"/>
        <v>-8.0286379929604772E-6</v>
      </c>
      <c r="M27">
        <v>10</v>
      </c>
      <c r="N27">
        <f t="shared" si="3"/>
        <v>26.327000000048173</v>
      </c>
      <c r="O27">
        <f t="shared" si="4"/>
        <v>23.933700000099183</v>
      </c>
    </row>
    <row r="28" spans="1:15" x14ac:dyDescent="0.25">
      <c r="A28" s="2">
        <v>45069.014675925922</v>
      </c>
      <c r="B28" t="s">
        <v>54</v>
      </c>
      <c r="C28">
        <v>10.00039308</v>
      </c>
      <c r="D28" s="1">
        <v>1.17E-7</v>
      </c>
      <c r="E28">
        <v>-7.8982E-4</v>
      </c>
      <c r="F28" s="1">
        <v>1.9E-6</v>
      </c>
      <c r="G28">
        <v>1591.5</v>
      </c>
      <c r="H28">
        <v>15</v>
      </c>
      <c r="J28">
        <f t="shared" si="0"/>
        <v>10.0003932</v>
      </c>
      <c r="K28">
        <f t="shared" si="1"/>
        <v>-8.1711999999999996E-4</v>
      </c>
      <c r="L28">
        <f t="shared" si="2"/>
        <v>-8.171132503042933E-6</v>
      </c>
      <c r="M28">
        <v>10</v>
      </c>
      <c r="N28">
        <f t="shared" si="3"/>
        <v>39.319999999953836</v>
      </c>
      <c r="O28">
        <f t="shared" si="4"/>
        <v>36.926700000004843</v>
      </c>
    </row>
    <row r="29" spans="1:15" x14ac:dyDescent="0.25">
      <c r="A29" s="2">
        <v>45069.015462962961</v>
      </c>
      <c r="B29" t="s">
        <v>55</v>
      </c>
      <c r="C29">
        <v>10.000423189999999</v>
      </c>
      <c r="D29" s="1">
        <v>1.04E-7</v>
      </c>
      <c r="E29">
        <v>-7.9261000000000002E-4</v>
      </c>
      <c r="F29" s="1">
        <v>1.79E-6</v>
      </c>
      <c r="G29">
        <v>1591.5</v>
      </c>
      <c r="H29">
        <v>15</v>
      </c>
      <c r="I29" t="s">
        <v>183</v>
      </c>
      <c r="J29">
        <f t="shared" si="0"/>
        <v>10.000423309999999</v>
      </c>
      <c r="K29">
        <f t="shared" si="1"/>
        <v>-8.1990999999999997E-4</v>
      </c>
      <c r="L29">
        <f t="shared" si="2"/>
        <v>-8.199007586338039E-6</v>
      </c>
      <c r="M29">
        <v>10</v>
      </c>
      <c r="N29">
        <f t="shared" si="3"/>
        <v>42.330999999951047</v>
      </c>
      <c r="O29">
        <f t="shared" si="4"/>
        <v>39.937700000002053</v>
      </c>
    </row>
    <row r="30" spans="1:15" x14ac:dyDescent="0.25">
      <c r="A30" s="2">
        <v>45069.016504629632</v>
      </c>
      <c r="B30" t="s">
        <v>56</v>
      </c>
      <c r="C30">
        <v>10.00024123</v>
      </c>
      <c r="D30" s="1">
        <v>1.68E-7</v>
      </c>
      <c r="E30">
        <v>-7.9219999999999996E-4</v>
      </c>
      <c r="F30" s="1">
        <v>1.88E-6</v>
      </c>
      <c r="G30">
        <v>1591.5</v>
      </c>
      <c r="H30">
        <v>15</v>
      </c>
      <c r="I30" t="s">
        <v>184</v>
      </c>
      <c r="J30">
        <f t="shared" si="0"/>
        <v>10.00024135</v>
      </c>
      <c r="K30">
        <f t="shared" si="1"/>
        <v>-8.1949999999999992E-4</v>
      </c>
      <c r="L30">
        <f t="shared" si="2"/>
        <v>-8.1950567434904304E-6</v>
      </c>
      <c r="M30">
        <v>10</v>
      </c>
      <c r="N30">
        <f t="shared" si="3"/>
        <v>24.134999999869677</v>
      </c>
      <c r="O30">
        <f t="shared" si="4"/>
        <v>21.741699999920687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7330-332E-42BE-B34C-A90A3B28B5B5}">
  <dimension ref="A1:P30"/>
  <sheetViews>
    <sheetView workbookViewId="0">
      <selection activeCell="A3" sqref="A3"/>
    </sheetView>
  </sheetViews>
  <sheetFormatPr defaultRowHeight="15" x14ac:dyDescent="0.25"/>
  <cols>
    <col min="1" max="1" width="14.85546875" bestFit="1" customWidth="1"/>
    <col min="9" max="9" width="73" bestFit="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-2.3791700000011149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2">
        <v>45198.008622685185</v>
      </c>
      <c r="B3" t="s">
        <v>17</v>
      </c>
      <c r="C3" s="1">
        <v>-2.67E-7</v>
      </c>
      <c r="D3" s="1">
        <v>7.5499999999999994E-8</v>
      </c>
      <c r="E3" s="1">
        <v>2.8500000000000002E-5</v>
      </c>
      <c r="F3" s="1">
        <v>5.1500000000000005E-7</v>
      </c>
      <c r="G3">
        <v>1591.5</v>
      </c>
      <c r="H3">
        <v>15</v>
      </c>
      <c r="I3" t="s">
        <v>185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2">
        <v>45198.013622685183</v>
      </c>
      <c r="B4" t="s">
        <v>21</v>
      </c>
      <c r="C4">
        <v>9.9999762269999994</v>
      </c>
      <c r="D4" s="1">
        <v>8.8899999999999995E-8</v>
      </c>
      <c r="E4">
        <v>-1.8288000000000001E-4</v>
      </c>
      <c r="F4" s="1">
        <v>1.0100000000000001E-6</v>
      </c>
      <c r="G4">
        <v>1591.5</v>
      </c>
      <c r="H4">
        <v>15</v>
      </c>
      <c r="I4" t="s">
        <v>186</v>
      </c>
      <c r="J4">
        <f t="shared" ref="J4:J30" si="0">C4-C$3</f>
        <v>9.9999764940000002</v>
      </c>
      <c r="K4">
        <f>E4-E$3</f>
        <v>-2.1138E-4</v>
      </c>
      <c r="L4">
        <f>K4*0.000000001/(2*PI()*J4*G4*0.000000000001)</f>
        <v>-2.1138706220697406E-6</v>
      </c>
      <c r="M4">
        <v>10</v>
      </c>
      <c r="N4">
        <f>(J4/M4-1)*1000000</f>
        <v>-2.3505999999784422</v>
      </c>
      <c r="O4">
        <f>N4+P$1</f>
        <v>-4.729769999979557</v>
      </c>
    </row>
    <row r="5" spans="1:16" x14ac:dyDescent="0.25">
      <c r="A5" s="2">
        <v>45198.0156712963</v>
      </c>
      <c r="B5" t="s">
        <v>23</v>
      </c>
      <c r="C5">
        <v>9.9999786309999994</v>
      </c>
      <c r="D5" s="1">
        <v>1.55E-7</v>
      </c>
      <c r="E5">
        <v>-1.6615999999999999E-4</v>
      </c>
      <c r="F5" s="1">
        <v>9.6700000000000002E-7</v>
      </c>
      <c r="G5">
        <v>1591.5</v>
      </c>
      <c r="H5">
        <v>15</v>
      </c>
      <c r="J5">
        <f t="shared" si="0"/>
        <v>9.9999788980000002</v>
      </c>
      <c r="K5">
        <f t="shared" ref="K5:K30" si="1">E5-E$3</f>
        <v>-1.9465999999999998E-4</v>
      </c>
      <c r="L5">
        <f t="shared" ref="L5:L30" si="2">K5*0.000000001/(2*PI()*J5*G5*0.000000000001)</f>
        <v>-1.9466645679375497E-6</v>
      </c>
      <c r="M5">
        <v>10</v>
      </c>
      <c r="N5">
        <f t="shared" ref="N5:N30" si="3">(J5/M5-1)*1000000</f>
        <v>-2.1101999999606491</v>
      </c>
      <c r="O5">
        <f t="shared" ref="O5:O30" si="4">N5+P$1</f>
        <v>-4.489369999961764</v>
      </c>
    </row>
    <row r="6" spans="1:16" x14ac:dyDescent="0.25">
      <c r="A6" s="2">
        <v>45198.017939814818</v>
      </c>
      <c r="B6" t="s">
        <v>24</v>
      </c>
      <c r="C6">
        <v>99.999817649999997</v>
      </c>
      <c r="D6" s="1">
        <v>8.0599999999999994E-8</v>
      </c>
      <c r="E6">
        <v>1.7786E-3</v>
      </c>
      <c r="F6" s="1">
        <v>9.1699999999999997E-7</v>
      </c>
      <c r="G6">
        <v>1591.5</v>
      </c>
      <c r="H6">
        <v>15</v>
      </c>
      <c r="J6">
        <f t="shared" si="0"/>
        <v>99.999817917000001</v>
      </c>
      <c r="K6">
        <f t="shared" si="1"/>
        <v>1.7500999999999999E-3</v>
      </c>
      <c r="L6">
        <f t="shared" si="2"/>
        <v>1.7501575436675791E-6</v>
      </c>
      <c r="M6">
        <v>100</v>
      </c>
      <c r="N6">
        <f t="shared" si="3"/>
        <v>-1.8208299999988853</v>
      </c>
      <c r="O6">
        <f t="shared" si="4"/>
        <v>-4.2</v>
      </c>
    </row>
    <row r="7" spans="1:16" x14ac:dyDescent="0.25">
      <c r="A7" s="2">
        <v>45198.018819444442</v>
      </c>
      <c r="B7" t="s">
        <v>25</v>
      </c>
      <c r="C7">
        <v>99.999823800000001</v>
      </c>
      <c r="D7" s="1">
        <v>8.9400000000000006E-8</v>
      </c>
      <c r="E7">
        <v>2.1413000000000001E-3</v>
      </c>
      <c r="F7" s="1">
        <v>8.9999999999999996E-7</v>
      </c>
      <c r="G7">
        <v>1591.5</v>
      </c>
      <c r="H7">
        <v>15</v>
      </c>
      <c r="J7">
        <f t="shared" si="0"/>
        <v>99.999824067000006</v>
      </c>
      <c r="K7">
        <f t="shared" si="1"/>
        <v>2.1128000000000002E-3</v>
      </c>
      <c r="L7">
        <f t="shared" si="2"/>
        <v>2.1128693393805444E-6</v>
      </c>
      <c r="M7">
        <v>100</v>
      </c>
      <c r="N7">
        <f t="shared" si="3"/>
        <v>-1.7593299999063561</v>
      </c>
      <c r="O7">
        <f t="shared" si="4"/>
        <v>-4.138499999907471</v>
      </c>
    </row>
    <row r="8" spans="1:16" x14ac:dyDescent="0.25">
      <c r="A8" s="2">
        <v>45198.020092592589</v>
      </c>
      <c r="B8" t="s">
        <v>26</v>
      </c>
      <c r="C8">
        <v>9.9999766260000005</v>
      </c>
      <c r="D8" s="1">
        <v>9.5000000000000004E-8</v>
      </c>
      <c r="E8">
        <v>-2.9468000000000002E-4</v>
      </c>
      <c r="F8" s="1">
        <v>8.3300000000000001E-7</v>
      </c>
      <c r="G8">
        <v>1591.5</v>
      </c>
      <c r="H8">
        <v>15</v>
      </c>
      <c r="I8" t="s">
        <v>187</v>
      </c>
      <c r="J8">
        <f t="shared" si="0"/>
        <v>9.9999768930000013</v>
      </c>
      <c r="K8">
        <f t="shared" si="1"/>
        <v>-3.2318000000000001E-4</v>
      </c>
      <c r="L8">
        <f t="shared" si="2"/>
        <v>-3.2319078455025242E-6</v>
      </c>
      <c r="M8">
        <v>10</v>
      </c>
      <c r="N8">
        <f t="shared" si="3"/>
        <v>-2.3106999998967481</v>
      </c>
      <c r="O8">
        <f t="shared" si="4"/>
        <v>-4.689869999897863</v>
      </c>
    </row>
    <row r="9" spans="1:16" x14ac:dyDescent="0.25">
      <c r="A9" s="2">
        <v>45198.021967592591</v>
      </c>
      <c r="B9" t="s">
        <v>28</v>
      </c>
      <c r="C9">
        <v>9.9999742680000008</v>
      </c>
      <c r="D9" s="1">
        <v>4.4899999999999998E-8</v>
      </c>
      <c r="E9">
        <v>-2.5339999999999998E-4</v>
      </c>
      <c r="F9" s="1">
        <v>9.7000000000000003E-7</v>
      </c>
      <c r="G9">
        <v>1591.5</v>
      </c>
      <c r="H9">
        <v>15</v>
      </c>
      <c r="J9">
        <f t="shared" si="0"/>
        <v>9.9999745350000016</v>
      </c>
      <c r="K9">
        <f t="shared" si="1"/>
        <v>-2.8189999999999997E-4</v>
      </c>
      <c r="L9">
        <f t="shared" si="2"/>
        <v>-2.8190947350676139E-6</v>
      </c>
      <c r="M9">
        <v>10</v>
      </c>
      <c r="N9">
        <f t="shared" si="3"/>
        <v>-2.5464999998670024</v>
      </c>
      <c r="O9">
        <f t="shared" si="4"/>
        <v>-4.9256699998681173</v>
      </c>
    </row>
    <row r="10" spans="1:16" x14ac:dyDescent="0.25">
      <c r="A10" s="2">
        <v>45198.024293981478</v>
      </c>
      <c r="B10" t="s">
        <v>29</v>
      </c>
      <c r="C10">
        <v>99.999790520000005</v>
      </c>
      <c r="D10" s="1">
        <v>8.72E-8</v>
      </c>
      <c r="E10">
        <v>7.8399999999999997E-4</v>
      </c>
      <c r="F10" s="1">
        <v>1.26E-6</v>
      </c>
      <c r="G10">
        <v>1591.5</v>
      </c>
      <c r="H10">
        <v>15</v>
      </c>
      <c r="J10">
        <f t="shared" si="0"/>
        <v>99.999790787000009</v>
      </c>
      <c r="K10">
        <f t="shared" si="1"/>
        <v>7.5549999999999999E-4</v>
      </c>
      <c r="L10">
        <f t="shared" si="2"/>
        <v>7.5552504597817854E-7</v>
      </c>
      <c r="M10">
        <v>100</v>
      </c>
      <c r="N10">
        <f t="shared" si="3"/>
        <v>-2.0921299999088205</v>
      </c>
      <c r="O10">
        <f t="shared" si="4"/>
        <v>-4.4712999999099354</v>
      </c>
    </row>
    <row r="11" spans="1:16" x14ac:dyDescent="0.25">
      <c r="A11" s="2">
        <v>45198.025347222225</v>
      </c>
      <c r="B11" t="s">
        <v>30</v>
      </c>
      <c r="C11">
        <v>99.999872530000005</v>
      </c>
      <c r="D11" s="1">
        <v>9.9999999999999995E-8</v>
      </c>
      <c r="E11">
        <v>8.5820000000000004E-4</v>
      </c>
      <c r="F11" s="1">
        <v>1.08E-6</v>
      </c>
      <c r="G11">
        <v>1591.5</v>
      </c>
      <c r="H11">
        <v>15</v>
      </c>
      <c r="J11">
        <f t="shared" si="0"/>
        <v>99.999872797000009</v>
      </c>
      <c r="K11">
        <f t="shared" si="1"/>
        <v>8.2970000000000006E-4</v>
      </c>
      <c r="L11">
        <f t="shared" si="2"/>
        <v>8.2972682536104279E-7</v>
      </c>
      <c r="M11">
        <v>100</v>
      </c>
      <c r="N11">
        <f t="shared" si="3"/>
        <v>-1.2720299998880691</v>
      </c>
      <c r="O11">
        <f t="shared" si="4"/>
        <v>-3.651199999889184</v>
      </c>
    </row>
    <row r="12" spans="1:16" x14ac:dyDescent="0.25">
      <c r="A12" s="2">
        <v>45198.028368055559</v>
      </c>
      <c r="B12" t="s">
        <v>31</v>
      </c>
      <c r="C12">
        <v>10.00020069</v>
      </c>
      <c r="D12" s="1">
        <v>1.14E-7</v>
      </c>
      <c r="E12">
        <v>9.5675999999999997E-4</v>
      </c>
      <c r="F12" s="1">
        <v>1.06E-6</v>
      </c>
      <c r="G12">
        <v>1591.5</v>
      </c>
      <c r="H12">
        <v>15</v>
      </c>
      <c r="I12" t="s">
        <v>188</v>
      </c>
      <c r="J12">
        <f t="shared" si="0"/>
        <v>10.000200957000001</v>
      </c>
      <c r="K12">
        <f t="shared" si="1"/>
        <v>9.2825999999999998E-4</v>
      </c>
      <c r="L12">
        <f t="shared" si="2"/>
        <v>9.2827017689190652E-6</v>
      </c>
      <c r="M12">
        <v>10</v>
      </c>
      <c r="N12">
        <f t="shared" si="3"/>
        <v>20.095700000055672</v>
      </c>
      <c r="O12">
        <f t="shared" si="4"/>
        <v>17.716530000054558</v>
      </c>
    </row>
    <row r="13" spans="1:16" x14ac:dyDescent="0.25">
      <c r="A13" s="2">
        <v>45198.030902777777</v>
      </c>
      <c r="B13" t="s">
        <v>33</v>
      </c>
      <c r="C13">
        <v>100.00415</v>
      </c>
      <c r="D13">
        <v>0</v>
      </c>
      <c r="E13">
        <v>9.2905000000000001E-3</v>
      </c>
      <c r="F13" s="1">
        <v>3.4300000000000002E-6</v>
      </c>
      <c r="G13">
        <v>1591.5</v>
      </c>
      <c r="H13">
        <v>15</v>
      </c>
      <c r="J13">
        <f t="shared" si="0"/>
        <v>100.004150267</v>
      </c>
      <c r="K13">
        <f t="shared" si="1"/>
        <v>9.2619999999999994E-3</v>
      </c>
      <c r="L13">
        <f t="shared" si="2"/>
        <v>9.2619032777715565E-6</v>
      </c>
      <c r="M13">
        <v>100</v>
      </c>
      <c r="N13">
        <f t="shared" si="3"/>
        <v>41.502670000026498</v>
      </c>
      <c r="O13">
        <f t="shared" si="4"/>
        <v>39.123500000025381</v>
      </c>
    </row>
    <row r="14" spans="1:16" x14ac:dyDescent="0.25">
      <c r="A14" s="2">
        <v>45198.033217592594</v>
      </c>
      <c r="B14" t="s">
        <v>34</v>
      </c>
      <c r="C14">
        <v>1000.032751</v>
      </c>
      <c r="D14" s="1">
        <v>3.0000000000000001E-6</v>
      </c>
      <c r="E14">
        <v>0.21176900000000001</v>
      </c>
      <c r="F14" s="1">
        <v>2.7699999999999999E-5</v>
      </c>
      <c r="G14">
        <v>1591.5</v>
      </c>
      <c r="H14">
        <v>1.5</v>
      </c>
      <c r="J14">
        <f t="shared" si="0"/>
        <v>1000.032751267</v>
      </c>
      <c r="K14">
        <f t="shared" si="1"/>
        <v>0.21174050000000003</v>
      </c>
      <c r="L14">
        <f t="shared" si="2"/>
        <v>2.1174014175951572E-5</v>
      </c>
      <c r="M14">
        <v>1000</v>
      </c>
      <c r="N14">
        <f t="shared" si="3"/>
        <v>32.751266999975215</v>
      </c>
      <c r="O14">
        <f t="shared" si="4"/>
        <v>30.372096999974101</v>
      </c>
    </row>
    <row r="15" spans="1:16" x14ac:dyDescent="0.25">
      <c r="A15" s="2">
        <v>45198.034537037034</v>
      </c>
      <c r="B15" t="s">
        <v>35</v>
      </c>
      <c r="C15">
        <v>1000.006357</v>
      </c>
      <c r="D15" s="1">
        <v>7.9300000000000003E-5</v>
      </c>
      <c r="E15">
        <v>0.22356999999999999</v>
      </c>
      <c r="F15">
        <v>3.1301799999999998E-4</v>
      </c>
      <c r="G15">
        <v>1591.5</v>
      </c>
      <c r="H15">
        <v>1.5</v>
      </c>
      <c r="J15">
        <f t="shared" si="0"/>
        <v>1000.006357267</v>
      </c>
      <c r="K15">
        <f t="shared" si="1"/>
        <v>0.2235415</v>
      </c>
      <c r="L15">
        <f t="shared" si="2"/>
        <v>2.2354702190044591E-5</v>
      </c>
      <c r="M15">
        <v>1000</v>
      </c>
      <c r="N15">
        <f t="shared" si="3"/>
        <v>6.3572669999345521</v>
      </c>
      <c r="O15">
        <f t="shared" si="4"/>
        <v>3.9780969999334372</v>
      </c>
    </row>
    <row r="16" spans="1:16" x14ac:dyDescent="0.25">
      <c r="A16" s="2">
        <v>45198.036377314813</v>
      </c>
      <c r="B16" t="s">
        <v>36</v>
      </c>
      <c r="C16">
        <v>4.999953434</v>
      </c>
      <c r="D16" s="1">
        <v>5.8199999999999998E-8</v>
      </c>
      <c r="E16">
        <v>2.7315E-4</v>
      </c>
      <c r="F16" s="1">
        <v>9.0800000000000003E-7</v>
      </c>
      <c r="G16">
        <v>1591.5</v>
      </c>
      <c r="H16">
        <v>15</v>
      </c>
      <c r="J16">
        <f t="shared" si="0"/>
        <v>4.9999537009999999</v>
      </c>
      <c r="K16">
        <f t="shared" si="1"/>
        <v>2.4465000000000001E-4</v>
      </c>
      <c r="L16">
        <f t="shared" si="2"/>
        <v>4.8931972833153169E-6</v>
      </c>
      <c r="M16">
        <v>5</v>
      </c>
      <c r="N16">
        <f t="shared" si="3"/>
        <v>-9.2597999999943781</v>
      </c>
      <c r="O16">
        <f t="shared" si="4"/>
        <v>-11.638969999995492</v>
      </c>
    </row>
    <row r="17" spans="1:15" x14ac:dyDescent="0.25">
      <c r="A17" s="2">
        <v>45198.038090277776</v>
      </c>
      <c r="B17" t="s">
        <v>38</v>
      </c>
      <c r="C17">
        <v>5.0001069869999997</v>
      </c>
      <c r="D17" s="1">
        <v>3.32E-8</v>
      </c>
      <c r="E17">
        <v>2.5292000000000001E-4</v>
      </c>
      <c r="F17" s="1">
        <v>5.7800000000000001E-7</v>
      </c>
      <c r="G17">
        <v>1591.5</v>
      </c>
      <c r="H17">
        <v>15</v>
      </c>
      <c r="J17">
        <f t="shared" si="0"/>
        <v>5.0001072539999996</v>
      </c>
      <c r="K17">
        <f t="shared" si="1"/>
        <v>2.2442000000000002E-4</v>
      </c>
      <c r="L17">
        <f t="shared" si="2"/>
        <v>4.4884431259875944E-6</v>
      </c>
      <c r="M17">
        <v>5</v>
      </c>
      <c r="N17">
        <f t="shared" si="3"/>
        <v>21.450799999822578</v>
      </c>
      <c r="O17">
        <f t="shared" si="4"/>
        <v>19.071629999821464</v>
      </c>
    </row>
    <row r="18" spans="1:15" x14ac:dyDescent="0.25">
      <c r="A18" s="2">
        <v>45198.039166666669</v>
      </c>
      <c r="B18" t="s">
        <v>40</v>
      </c>
      <c r="C18">
        <v>0.50005272999999995</v>
      </c>
      <c r="D18" s="1">
        <v>8.35E-8</v>
      </c>
      <c r="E18" s="1">
        <v>7.7899999999999996E-5</v>
      </c>
      <c r="F18" s="1">
        <v>7.5600000000000005E-7</v>
      </c>
      <c r="G18">
        <v>1591.5</v>
      </c>
      <c r="H18">
        <v>15</v>
      </c>
      <c r="J18">
        <f t="shared" si="0"/>
        <v>0.50005299699999994</v>
      </c>
      <c r="K18">
        <f t="shared" si="1"/>
        <v>4.9399999999999995E-5</v>
      </c>
      <c r="L18">
        <f t="shared" si="2"/>
        <v>9.87925972389579E-6</v>
      </c>
      <c r="M18">
        <v>0.5</v>
      </c>
      <c r="N18">
        <f t="shared" si="3"/>
        <v>105.99399999988712</v>
      </c>
      <c r="O18">
        <f t="shared" si="4"/>
        <v>103.61482999988601</v>
      </c>
    </row>
    <row r="19" spans="1:15" x14ac:dyDescent="0.25">
      <c r="A19" s="2">
        <v>45198.040671296294</v>
      </c>
      <c r="B19" t="s">
        <v>42</v>
      </c>
      <c r="C19">
        <v>1000.141392</v>
      </c>
      <c r="D19" s="1">
        <v>3.9999999999999998E-6</v>
      </c>
      <c r="E19">
        <v>0.10702</v>
      </c>
      <c r="F19" s="1">
        <v>5.1799999999999999E-5</v>
      </c>
      <c r="G19">
        <v>1591.5</v>
      </c>
      <c r="H19">
        <v>1.5</v>
      </c>
      <c r="I19" t="s">
        <v>189</v>
      </c>
      <c r="J19">
        <f t="shared" si="0"/>
        <v>1000.141392267</v>
      </c>
      <c r="K19">
        <f t="shared" si="1"/>
        <v>0.1069915</v>
      </c>
      <c r="L19">
        <f t="shared" si="2"/>
        <v>1.0697969698210768E-5</v>
      </c>
      <c r="M19">
        <v>1000</v>
      </c>
      <c r="N19">
        <f t="shared" si="3"/>
        <v>141.39226699994012</v>
      </c>
      <c r="O19">
        <f t="shared" si="4"/>
        <v>139.01309699993899</v>
      </c>
    </row>
    <row r="20" spans="1:15" x14ac:dyDescent="0.25">
      <c r="A20" s="2">
        <v>45198.003888888888</v>
      </c>
      <c r="B20" t="s">
        <v>44</v>
      </c>
      <c r="C20">
        <v>10.000421510000001</v>
      </c>
      <c r="D20" s="1">
        <v>1.3E-7</v>
      </c>
      <c r="E20">
        <v>6.9943000000000002E-4</v>
      </c>
      <c r="F20" s="1">
        <v>1.53E-6</v>
      </c>
      <c r="G20">
        <v>1591.5</v>
      </c>
      <c r="H20">
        <v>15</v>
      </c>
      <c r="J20">
        <f t="shared" si="0"/>
        <v>10.000421777000001</v>
      </c>
      <c r="K20">
        <f t="shared" si="1"/>
        <v>6.7093000000000003E-4</v>
      </c>
      <c r="L20">
        <f t="shared" si="2"/>
        <v>6.7092254066463455E-6</v>
      </c>
      <c r="M20">
        <v>10</v>
      </c>
      <c r="N20">
        <f t="shared" si="3"/>
        <v>42.177700000145535</v>
      </c>
      <c r="O20">
        <f t="shared" si="4"/>
        <v>39.798530000144417</v>
      </c>
    </row>
    <row r="21" spans="1:15" x14ac:dyDescent="0.25">
      <c r="A21" s="2">
        <v>45198.005208333336</v>
      </c>
      <c r="B21" t="s">
        <v>46</v>
      </c>
      <c r="C21">
        <v>10.000174619999999</v>
      </c>
      <c r="D21" s="1">
        <v>1.3300000000000001E-7</v>
      </c>
      <c r="E21">
        <v>6.9317999999999995E-4</v>
      </c>
      <c r="F21" s="1">
        <v>1.3400000000000001E-6</v>
      </c>
      <c r="G21">
        <v>1591.5</v>
      </c>
      <c r="H21">
        <v>15</v>
      </c>
      <c r="J21">
        <f t="shared" si="0"/>
        <v>10.000174887</v>
      </c>
      <c r="K21">
        <f t="shared" si="1"/>
        <v>6.6467999999999996E-4</v>
      </c>
      <c r="L21">
        <f t="shared" si="2"/>
        <v>6.6468901996662062E-6</v>
      </c>
      <c r="M21">
        <v>10</v>
      </c>
      <c r="N21">
        <f t="shared" si="3"/>
        <v>17.488699999956836</v>
      </c>
      <c r="O21">
        <f t="shared" si="4"/>
        <v>15.109529999955722</v>
      </c>
    </row>
    <row r="22" spans="1:15" x14ac:dyDescent="0.25">
      <c r="A22" s="2">
        <v>45198.007418981484</v>
      </c>
      <c r="B22" t="s">
        <v>47</v>
      </c>
      <c r="C22">
        <v>10.000143939999999</v>
      </c>
      <c r="D22" s="1">
        <v>1.02E-7</v>
      </c>
      <c r="E22">
        <v>6.8559000000000003E-4</v>
      </c>
      <c r="F22" s="1">
        <v>1.24E-6</v>
      </c>
      <c r="G22">
        <v>1591.5</v>
      </c>
      <c r="H22">
        <v>15</v>
      </c>
      <c r="J22">
        <f t="shared" si="0"/>
        <v>10.000144207</v>
      </c>
      <c r="K22">
        <f t="shared" si="1"/>
        <v>6.5709000000000004E-4</v>
      </c>
      <c r="L22">
        <f t="shared" si="2"/>
        <v>6.5710093291776877E-6</v>
      </c>
      <c r="M22">
        <v>10</v>
      </c>
      <c r="N22">
        <f t="shared" si="3"/>
        <v>14.420699999906361</v>
      </c>
      <c r="O22">
        <f t="shared" si="4"/>
        <v>12.041529999905247</v>
      </c>
    </row>
    <row r="23" spans="1:15" x14ac:dyDescent="0.25">
      <c r="A23" s="2">
        <v>45198.009930555556</v>
      </c>
      <c r="B23" t="s">
        <v>48</v>
      </c>
      <c r="C23">
        <v>10.00025136</v>
      </c>
      <c r="D23" s="1">
        <v>1.5599999999999999E-7</v>
      </c>
      <c r="E23">
        <v>7.1555000000000002E-4</v>
      </c>
      <c r="F23" s="1">
        <v>1.3999999999999999E-6</v>
      </c>
      <c r="G23">
        <v>1591.5</v>
      </c>
      <c r="H23">
        <v>15</v>
      </c>
      <c r="J23">
        <f t="shared" si="0"/>
        <v>10.000251627000001</v>
      </c>
      <c r="K23">
        <f t="shared" si="1"/>
        <v>6.8705000000000003E-4</v>
      </c>
      <c r="L23">
        <f t="shared" si="2"/>
        <v>6.8705405117565612E-6</v>
      </c>
      <c r="M23">
        <v>10</v>
      </c>
      <c r="N23">
        <f t="shared" si="3"/>
        <v>25.162700000080918</v>
      </c>
      <c r="O23">
        <f t="shared" si="4"/>
        <v>22.783530000079804</v>
      </c>
    </row>
    <row r="24" spans="1:15" x14ac:dyDescent="0.25">
      <c r="A24" s="2">
        <v>45198.014236111114</v>
      </c>
      <c r="B24" t="s">
        <v>49</v>
      </c>
      <c r="C24">
        <v>10.00000384</v>
      </c>
      <c r="D24" s="1">
        <v>1.2800000000000001E-7</v>
      </c>
      <c r="E24">
        <v>6.8574E-4</v>
      </c>
      <c r="F24" s="1">
        <v>1.88E-6</v>
      </c>
      <c r="G24">
        <v>1591.5</v>
      </c>
      <c r="H24">
        <v>15</v>
      </c>
      <c r="J24">
        <f t="shared" si="0"/>
        <v>10.000004107000001</v>
      </c>
      <c r="K24">
        <f t="shared" si="1"/>
        <v>6.5724000000000002E-4</v>
      </c>
      <c r="L24">
        <f t="shared" si="2"/>
        <v>6.5726014349535019E-6</v>
      </c>
      <c r="M24">
        <v>10</v>
      </c>
      <c r="N24">
        <f t="shared" si="3"/>
        <v>0.41070000000864582</v>
      </c>
      <c r="O24">
        <f t="shared" si="4"/>
        <v>-1.9684699999924691</v>
      </c>
    </row>
    <row r="25" spans="1:15" x14ac:dyDescent="0.25">
      <c r="A25" s="2">
        <v>45198.018449074072</v>
      </c>
      <c r="B25" t="s">
        <v>50</v>
      </c>
      <c r="C25">
        <v>10.0002589</v>
      </c>
      <c r="D25" s="1">
        <v>1.3400000000000001E-7</v>
      </c>
      <c r="E25">
        <v>7.2435999999999996E-4</v>
      </c>
      <c r="F25" s="1">
        <v>9.3500000000000005E-7</v>
      </c>
      <c r="G25">
        <v>1591.5</v>
      </c>
      <c r="H25">
        <v>15</v>
      </c>
      <c r="J25">
        <f t="shared" si="0"/>
        <v>10.000259167000001</v>
      </c>
      <c r="K25">
        <f t="shared" si="1"/>
        <v>6.9585999999999997E-4</v>
      </c>
      <c r="L25">
        <f t="shared" si="2"/>
        <v>6.9586357845569682E-6</v>
      </c>
      <c r="M25">
        <v>10</v>
      </c>
      <c r="N25">
        <f t="shared" si="3"/>
        <v>25.916700000072623</v>
      </c>
      <c r="O25">
        <f t="shared" si="4"/>
        <v>23.537530000071509</v>
      </c>
    </row>
    <row r="26" spans="1:15" x14ac:dyDescent="0.25">
      <c r="A26" s="2">
        <v>45198.020370370374</v>
      </c>
      <c r="B26" t="s">
        <v>51</v>
      </c>
      <c r="C26">
        <v>10.00035956</v>
      </c>
      <c r="D26" s="1">
        <v>8.0000000000000002E-8</v>
      </c>
      <c r="E26">
        <v>7.1137999999999996E-4</v>
      </c>
      <c r="F26" s="1">
        <v>1.57E-6</v>
      </c>
      <c r="G26">
        <v>1591.5</v>
      </c>
      <c r="H26">
        <v>15</v>
      </c>
      <c r="J26">
        <f t="shared" si="0"/>
        <v>10.000359827</v>
      </c>
      <c r="K26">
        <f t="shared" si="1"/>
        <v>6.8287999999999997E-4</v>
      </c>
      <c r="L26">
        <f t="shared" si="2"/>
        <v>6.8287663804803204E-6</v>
      </c>
      <c r="M26">
        <v>10</v>
      </c>
      <c r="N26">
        <f t="shared" si="3"/>
        <v>35.982700000047885</v>
      </c>
      <c r="O26">
        <f t="shared" si="4"/>
        <v>33.603530000046767</v>
      </c>
    </row>
    <row r="27" spans="1:15" x14ac:dyDescent="0.25">
      <c r="A27" s="2">
        <v>45198.032766203702</v>
      </c>
      <c r="B27" t="s">
        <v>53</v>
      </c>
      <c r="C27">
        <v>10.00027555</v>
      </c>
      <c r="D27" s="1">
        <v>1.02E-7</v>
      </c>
      <c r="E27">
        <v>7.1518999999999999E-4</v>
      </c>
      <c r="F27" s="1">
        <v>1.53E-6</v>
      </c>
      <c r="G27">
        <v>1591.5</v>
      </c>
      <c r="H27">
        <v>15</v>
      </c>
      <c r="J27">
        <f t="shared" si="0"/>
        <v>10.000275817</v>
      </c>
      <c r="K27">
        <f t="shared" si="1"/>
        <v>6.8669E-4</v>
      </c>
      <c r="L27">
        <f t="shared" si="2"/>
        <v>6.8669238798583419E-6</v>
      </c>
      <c r="M27">
        <v>10</v>
      </c>
      <c r="N27">
        <f t="shared" si="3"/>
        <v>27.581699999945641</v>
      </c>
      <c r="O27">
        <f t="shared" si="4"/>
        <v>25.202529999944527</v>
      </c>
    </row>
    <row r="28" spans="1:15" x14ac:dyDescent="0.25">
      <c r="A28" s="2">
        <v>45198.037673611114</v>
      </c>
      <c r="B28" t="s">
        <v>54</v>
      </c>
      <c r="C28">
        <v>10.00040744</v>
      </c>
      <c r="D28" s="1">
        <v>1.4999999999999999E-7</v>
      </c>
      <c r="E28">
        <v>7.1670000000000002E-4</v>
      </c>
      <c r="F28" s="1">
        <v>9.2800000000000005E-7</v>
      </c>
      <c r="G28">
        <v>1591.5</v>
      </c>
      <c r="H28">
        <v>15</v>
      </c>
      <c r="J28">
        <f t="shared" si="0"/>
        <v>10.000407707000001</v>
      </c>
      <c r="K28">
        <f t="shared" si="1"/>
        <v>6.8820000000000003E-4</v>
      </c>
      <c r="L28">
        <f t="shared" si="2"/>
        <v>6.8819331690559004E-6</v>
      </c>
      <c r="M28">
        <v>10</v>
      </c>
      <c r="N28">
        <f t="shared" si="3"/>
        <v>40.770700000081206</v>
      </c>
      <c r="O28">
        <f t="shared" si="4"/>
        <v>38.391530000080088</v>
      </c>
    </row>
    <row r="29" spans="1:15" x14ac:dyDescent="0.25">
      <c r="A29" s="2">
        <v>45198.039120370369</v>
      </c>
      <c r="B29" t="s">
        <v>55</v>
      </c>
      <c r="C29">
        <v>10.00043617</v>
      </c>
      <c r="D29" s="1">
        <v>1.6199999999999999E-7</v>
      </c>
      <c r="E29">
        <v>7.0383999999999996E-4</v>
      </c>
      <c r="F29" s="1">
        <v>1.81E-6</v>
      </c>
      <c r="G29">
        <v>1591.5</v>
      </c>
      <c r="H29">
        <v>15</v>
      </c>
      <c r="J29">
        <f t="shared" si="0"/>
        <v>10.000436437000001</v>
      </c>
      <c r="K29">
        <f t="shared" si="1"/>
        <v>6.7533999999999997E-4</v>
      </c>
      <c r="L29">
        <f t="shared" si="2"/>
        <v>6.7533150164045197E-6</v>
      </c>
      <c r="M29">
        <v>10</v>
      </c>
      <c r="N29">
        <f t="shared" si="3"/>
        <v>43.643700000206564</v>
      </c>
      <c r="O29">
        <f t="shared" si="4"/>
        <v>41.264530000205447</v>
      </c>
    </row>
    <row r="30" spans="1:15" x14ac:dyDescent="0.25">
      <c r="A30" s="2">
        <v>45198.040034722224</v>
      </c>
      <c r="B30" t="s">
        <v>56</v>
      </c>
      <c r="C30">
        <v>10.000252830000001</v>
      </c>
      <c r="D30" s="1">
        <v>1.1899999999999999E-7</v>
      </c>
      <c r="E30">
        <v>7.025E-4</v>
      </c>
      <c r="F30" s="1">
        <v>1.9599999999999999E-6</v>
      </c>
      <c r="G30">
        <v>1591.5</v>
      </c>
      <c r="H30">
        <v>15</v>
      </c>
      <c r="I30" t="s">
        <v>184</v>
      </c>
      <c r="J30">
        <f t="shared" si="0"/>
        <v>10.000253097000002</v>
      </c>
      <c r="K30">
        <f t="shared" si="1"/>
        <v>6.7400000000000001E-4</v>
      </c>
      <c r="L30">
        <f t="shared" si="2"/>
        <v>6.74003875150533E-6</v>
      </c>
      <c r="M30">
        <v>10</v>
      </c>
      <c r="N30">
        <f t="shared" si="3"/>
        <v>25.309700000253343</v>
      </c>
      <c r="O30">
        <f t="shared" si="4"/>
        <v>22.930530000252229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72DE-C64D-4B81-BFCA-F8FBAAE65ED4}">
  <dimension ref="A1:P30"/>
  <sheetViews>
    <sheetView workbookViewId="0">
      <selection activeCell="A3" sqref="A3:A30"/>
    </sheetView>
  </sheetViews>
  <sheetFormatPr defaultRowHeight="15" x14ac:dyDescent="0.25"/>
  <cols>
    <col min="1" max="1" width="13.85546875" bestFit="1" customWidth="1"/>
    <col min="9" max="9" width="73" bestFit="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-2.3749999998781322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2">
        <v>45201.038622685184</v>
      </c>
      <c r="B3" t="s">
        <v>17</v>
      </c>
      <c r="C3" s="1">
        <v>-9.9999999999999995E-8</v>
      </c>
      <c r="D3" s="1">
        <v>5.5500000000000001E-8</v>
      </c>
      <c r="E3" s="1">
        <v>2.7800000000000001E-5</v>
      </c>
      <c r="F3" s="1">
        <v>8.5799999999999998E-7</v>
      </c>
      <c r="G3">
        <v>1591.5</v>
      </c>
      <c r="H3">
        <v>15</v>
      </c>
      <c r="I3" t="s">
        <v>190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2">
        <v>45201.040335648147</v>
      </c>
      <c r="B4" t="s">
        <v>21</v>
      </c>
      <c r="C4">
        <v>9.9999760169999998</v>
      </c>
      <c r="D4" s="1">
        <v>1.05E-7</v>
      </c>
      <c r="E4">
        <v>-1.5669999999999999E-4</v>
      </c>
      <c r="F4" s="1">
        <v>1.0699999999999999E-6</v>
      </c>
      <c r="G4">
        <v>1591.5</v>
      </c>
      <c r="H4">
        <v>15</v>
      </c>
      <c r="I4" t="s">
        <v>191</v>
      </c>
      <c r="J4">
        <f t="shared" ref="J4:J30" si="0">C4-C$3</f>
        <v>9.9999761169999992</v>
      </c>
      <c r="K4">
        <f>E4-E$3</f>
        <v>-1.8449999999999999E-4</v>
      </c>
      <c r="L4">
        <f>K4*0.000000001/(2*PI()*J4*G4*0.000000000001)</f>
        <v>-1.8450617110192379E-6</v>
      </c>
      <c r="M4">
        <v>10</v>
      </c>
      <c r="N4">
        <f>(J4/M4-1)*1000000</f>
        <v>-2.388300000100152</v>
      </c>
      <c r="O4">
        <f>N4+P$1</f>
        <v>-4.7632999999782841</v>
      </c>
    </row>
    <row r="5" spans="1:16" x14ac:dyDescent="0.25">
      <c r="A5" s="2">
        <v>45201.000439814816</v>
      </c>
      <c r="B5" t="s">
        <v>23</v>
      </c>
      <c r="C5">
        <v>9.9999786040000007</v>
      </c>
      <c r="D5" s="1">
        <v>8.6900000000000004E-8</v>
      </c>
      <c r="E5">
        <v>-1.1841E-4</v>
      </c>
      <c r="F5" s="1">
        <v>8.78E-7</v>
      </c>
      <c r="G5">
        <v>1591.5</v>
      </c>
      <c r="H5">
        <v>15</v>
      </c>
      <c r="J5">
        <f t="shared" si="0"/>
        <v>9.9999787040000001</v>
      </c>
      <c r="K5">
        <f t="shared" ref="K5:K30" si="1">E5-E$3</f>
        <v>-1.4621E-4</v>
      </c>
      <c r="L5">
        <f t="shared" ref="L5:L30" si="2">K5*0.000000001/(2*PI()*J5*G5*0.000000000001)</f>
        <v>-1.4621485256335373E-6</v>
      </c>
      <c r="M5">
        <v>10</v>
      </c>
      <c r="N5">
        <f t="shared" ref="N5:N30" si="3">(J5/M5-1)*1000000</f>
        <v>-2.1296000000115001</v>
      </c>
      <c r="O5">
        <f t="shared" ref="O5:O30" si="4">N5+P$1</f>
        <v>-4.5045999998896322</v>
      </c>
    </row>
    <row r="6" spans="1:16" x14ac:dyDescent="0.25">
      <c r="A6" s="2">
        <v>45201.001284722224</v>
      </c>
      <c r="B6" t="s">
        <v>24</v>
      </c>
      <c r="C6">
        <v>99.999817399999998</v>
      </c>
      <c r="D6" s="1">
        <v>7.7499999999999999E-8</v>
      </c>
      <c r="E6">
        <v>1.8086000000000001E-3</v>
      </c>
      <c r="F6" s="1">
        <v>1.28E-6</v>
      </c>
      <c r="G6">
        <v>1591.5</v>
      </c>
      <c r="H6">
        <v>15</v>
      </c>
      <c r="J6">
        <f t="shared" si="0"/>
        <v>99.999817499999992</v>
      </c>
      <c r="K6">
        <f t="shared" si="1"/>
        <v>1.7808000000000001E-3</v>
      </c>
      <c r="L6">
        <f t="shared" si="2"/>
        <v>1.7808585605164317E-6</v>
      </c>
      <c r="M6">
        <v>100</v>
      </c>
      <c r="N6">
        <f t="shared" si="3"/>
        <v>-1.825000000121868</v>
      </c>
      <c r="O6">
        <f t="shared" si="4"/>
        <v>-4.2</v>
      </c>
    </row>
    <row r="7" spans="1:16" x14ac:dyDescent="0.25">
      <c r="A7" s="2">
        <v>45201.002118055556</v>
      </c>
      <c r="B7" t="s">
        <v>25</v>
      </c>
      <c r="C7">
        <v>99.999824169999997</v>
      </c>
      <c r="D7" s="1">
        <v>1.2700000000000001E-7</v>
      </c>
      <c r="E7">
        <v>2.1875000000000002E-3</v>
      </c>
      <c r="F7" s="1">
        <v>9.2200000000000002E-7</v>
      </c>
      <c r="G7">
        <v>1591.5</v>
      </c>
      <c r="H7">
        <v>15</v>
      </c>
      <c r="I7" t="s">
        <v>192</v>
      </c>
      <c r="J7">
        <f t="shared" si="0"/>
        <v>99.999824269999991</v>
      </c>
      <c r="K7">
        <f t="shared" si="1"/>
        <v>2.1597000000000001E-3</v>
      </c>
      <c r="L7">
        <f t="shared" si="2"/>
        <v>2.1597708741939245E-6</v>
      </c>
      <c r="M7">
        <v>100</v>
      </c>
      <c r="N7">
        <f t="shared" si="3"/>
        <v>-1.75730000007146</v>
      </c>
      <c r="O7">
        <f t="shared" si="4"/>
        <v>-4.1322999999495922</v>
      </c>
    </row>
    <row r="8" spans="1:16" x14ac:dyDescent="0.25">
      <c r="A8" s="2">
        <v>45201.03738425926</v>
      </c>
      <c r="B8" t="s">
        <v>26</v>
      </c>
      <c r="C8">
        <v>9.9999767140000007</v>
      </c>
      <c r="D8" s="1">
        <v>5.8199999999999998E-8</v>
      </c>
      <c r="E8">
        <v>-2.6230999999999997E-4</v>
      </c>
      <c r="F8" s="1">
        <v>7.3799999999999996E-7</v>
      </c>
      <c r="G8">
        <v>1591.5</v>
      </c>
      <c r="H8">
        <v>15</v>
      </c>
      <c r="J8">
        <f t="shared" si="0"/>
        <v>9.999976814</v>
      </c>
      <c r="K8">
        <f t="shared" si="1"/>
        <v>-2.9011E-4</v>
      </c>
      <c r="L8">
        <f t="shared" si="2"/>
        <v>-2.9011968329285965E-6</v>
      </c>
      <c r="M8">
        <v>10</v>
      </c>
      <c r="N8">
        <f t="shared" si="3"/>
        <v>-2.3185999999952855</v>
      </c>
      <c r="O8">
        <f t="shared" si="4"/>
        <v>-4.6935999998734177</v>
      </c>
    </row>
    <row r="9" spans="1:16" x14ac:dyDescent="0.25">
      <c r="A9" s="2">
        <v>45201.021782407406</v>
      </c>
      <c r="B9" t="s">
        <v>28</v>
      </c>
      <c r="C9">
        <v>9.9999742040000008</v>
      </c>
      <c r="D9" s="1">
        <v>1.1300000000000001E-7</v>
      </c>
      <c r="E9">
        <v>-2.2247E-4</v>
      </c>
      <c r="F9" s="1">
        <v>4.1699999999999999E-7</v>
      </c>
      <c r="G9">
        <v>1591.5</v>
      </c>
      <c r="H9">
        <v>15</v>
      </c>
      <c r="J9">
        <f t="shared" si="0"/>
        <v>9.9999743040000002</v>
      </c>
      <c r="K9">
        <f t="shared" si="1"/>
        <v>-2.5027000000000003E-4</v>
      </c>
      <c r="L9">
        <f t="shared" si="2"/>
        <v>-2.5027841633319211E-6</v>
      </c>
      <c r="M9">
        <v>10</v>
      </c>
      <c r="N9">
        <f t="shared" si="3"/>
        <v>-2.5696000000019481</v>
      </c>
      <c r="O9">
        <f t="shared" si="4"/>
        <v>-4.9445999998800803</v>
      </c>
    </row>
    <row r="10" spans="1:16" x14ac:dyDescent="0.25">
      <c r="A10" s="2">
        <v>45201.023252314815</v>
      </c>
      <c r="B10" t="s">
        <v>29</v>
      </c>
      <c r="C10">
        <v>99.999791060000007</v>
      </c>
      <c r="D10" s="1">
        <v>9.1699999999999994E-8</v>
      </c>
      <c r="E10">
        <v>8.2160000000000002E-4</v>
      </c>
      <c r="F10" s="1">
        <v>1.11E-6</v>
      </c>
      <c r="G10">
        <v>1591.5</v>
      </c>
      <c r="H10">
        <v>15</v>
      </c>
      <c r="J10">
        <f t="shared" si="0"/>
        <v>99.999791160000001</v>
      </c>
      <c r="K10">
        <f t="shared" si="1"/>
        <v>7.938E-4</v>
      </c>
      <c r="L10">
        <f t="shared" si="2"/>
        <v>7.9382631272066037E-7</v>
      </c>
      <c r="M10">
        <v>100</v>
      </c>
      <c r="N10">
        <f t="shared" si="3"/>
        <v>-2.0884000000442882</v>
      </c>
      <c r="O10">
        <f t="shared" si="4"/>
        <v>-4.4633999999224203</v>
      </c>
    </row>
    <row r="11" spans="1:16" x14ac:dyDescent="0.25">
      <c r="A11" s="2">
        <v>45201.024178240739</v>
      </c>
      <c r="B11" t="s">
        <v>30</v>
      </c>
      <c r="C11">
        <v>99.999873379999997</v>
      </c>
      <c r="D11" s="1">
        <v>8.72E-8</v>
      </c>
      <c r="E11">
        <v>8.9619999999999999E-4</v>
      </c>
      <c r="F11" s="1">
        <v>1.2500000000000001E-6</v>
      </c>
      <c r="G11">
        <v>1591.5</v>
      </c>
      <c r="H11">
        <v>15</v>
      </c>
      <c r="J11">
        <f t="shared" si="0"/>
        <v>99.999873479999991</v>
      </c>
      <c r="K11">
        <f t="shared" si="1"/>
        <v>8.6839999999999997E-4</v>
      </c>
      <c r="L11">
        <f t="shared" si="2"/>
        <v>8.6842807065477986E-7</v>
      </c>
      <c r="M11">
        <v>100</v>
      </c>
      <c r="N11">
        <f t="shared" si="3"/>
        <v>-1.2652000001001085</v>
      </c>
      <c r="O11">
        <f t="shared" si="4"/>
        <v>-3.6401999999782406</v>
      </c>
    </row>
    <row r="12" spans="1:16" x14ac:dyDescent="0.25">
      <c r="A12" s="2">
        <v>45201.025555555556</v>
      </c>
      <c r="B12" t="s">
        <v>31</v>
      </c>
      <c r="C12">
        <v>10.00019713</v>
      </c>
      <c r="D12" s="1">
        <v>8.9999999999999999E-8</v>
      </c>
      <c r="E12">
        <v>8.8962000000000004E-4</v>
      </c>
      <c r="F12" s="1">
        <v>1.0499999999999999E-6</v>
      </c>
      <c r="G12">
        <v>1591.5</v>
      </c>
      <c r="H12">
        <v>15</v>
      </c>
      <c r="J12">
        <f t="shared" si="0"/>
        <v>10.000197229999999</v>
      </c>
      <c r="K12">
        <f t="shared" si="1"/>
        <v>8.6182000000000001E-4</v>
      </c>
      <c r="L12">
        <f t="shared" si="2"/>
        <v>8.6182976968066568E-6</v>
      </c>
      <c r="M12">
        <v>10</v>
      </c>
      <c r="N12">
        <f t="shared" si="3"/>
        <v>19.722999999860491</v>
      </c>
      <c r="O12">
        <f t="shared" si="4"/>
        <v>17.34799999998236</v>
      </c>
    </row>
    <row r="13" spans="1:16" x14ac:dyDescent="0.25">
      <c r="A13" s="2">
        <v>45201.027129629627</v>
      </c>
      <c r="B13" t="s">
        <v>33</v>
      </c>
      <c r="C13">
        <v>100.004141</v>
      </c>
      <c r="D13">
        <v>0</v>
      </c>
      <c r="E13">
        <v>8.4220000000000007E-3</v>
      </c>
      <c r="F13" s="1">
        <v>1.9999999999999999E-6</v>
      </c>
      <c r="G13">
        <v>1591.5</v>
      </c>
      <c r="H13">
        <v>15</v>
      </c>
      <c r="I13" t="s">
        <v>193</v>
      </c>
      <c r="J13">
        <f t="shared" si="0"/>
        <v>100.0041411</v>
      </c>
      <c r="K13">
        <f t="shared" si="1"/>
        <v>8.394200000000001E-3</v>
      </c>
      <c r="L13">
        <f t="shared" si="2"/>
        <v>8.3941131095848964E-6</v>
      </c>
      <c r="M13">
        <v>100</v>
      </c>
      <c r="N13">
        <f t="shared" si="3"/>
        <v>41.410999999991205</v>
      </c>
      <c r="O13">
        <f t="shared" si="4"/>
        <v>39.03600000011307</v>
      </c>
    </row>
    <row r="14" spans="1:16" x14ac:dyDescent="0.25">
      <c r="A14" s="2">
        <v>45201.029016203705</v>
      </c>
      <c r="B14" t="s">
        <v>34</v>
      </c>
      <c r="C14">
        <v>1000.032619</v>
      </c>
      <c r="D14" s="1">
        <v>3.0000000000000001E-6</v>
      </c>
      <c r="E14">
        <v>0.19084699999999999</v>
      </c>
      <c r="F14" s="1">
        <v>4.6100000000000002E-5</v>
      </c>
      <c r="G14">
        <v>1591.5</v>
      </c>
      <c r="H14">
        <v>1.5</v>
      </c>
      <c r="J14">
        <f t="shared" si="0"/>
        <v>1000.0326190999999</v>
      </c>
      <c r="K14">
        <f t="shared" si="1"/>
        <v>0.19081919999999999</v>
      </c>
      <c r="L14">
        <f t="shared" si="2"/>
        <v>1.9081890237507619E-5</v>
      </c>
      <c r="M14">
        <v>1000</v>
      </c>
      <c r="N14">
        <f t="shared" si="3"/>
        <v>32.619099999964263</v>
      </c>
      <c r="O14">
        <f t="shared" si="4"/>
        <v>30.244100000086132</v>
      </c>
    </row>
    <row r="15" spans="1:16" x14ac:dyDescent="0.25">
      <c r="A15" s="2">
        <v>45201.032129629632</v>
      </c>
      <c r="B15" t="s">
        <v>35</v>
      </c>
      <c r="C15">
        <v>1000.012837</v>
      </c>
      <c r="D15">
        <v>3.3331799999999998E-4</v>
      </c>
      <c r="E15">
        <v>0.19855999999999999</v>
      </c>
      <c r="F15">
        <v>2.7640500000000002E-4</v>
      </c>
      <c r="G15">
        <v>1591.5</v>
      </c>
      <c r="H15">
        <v>1.5</v>
      </c>
      <c r="J15">
        <f t="shared" si="0"/>
        <v>1000.0128371</v>
      </c>
      <c r="K15">
        <f t="shared" si="1"/>
        <v>0.19853219999999999</v>
      </c>
      <c r="L15">
        <f t="shared" si="2"/>
        <v>1.985358176523792E-5</v>
      </c>
      <c r="M15">
        <v>1000</v>
      </c>
      <c r="N15">
        <f t="shared" si="3"/>
        <v>12.837099999885027</v>
      </c>
      <c r="O15">
        <f t="shared" si="4"/>
        <v>10.462100000006895</v>
      </c>
    </row>
    <row r="16" spans="1:16" x14ac:dyDescent="0.25">
      <c r="A16" s="2">
        <v>45201.033414351848</v>
      </c>
      <c r="B16" t="s">
        <v>36</v>
      </c>
      <c r="C16">
        <v>4.9999531380000004</v>
      </c>
      <c r="D16" s="1">
        <v>5.02E-8</v>
      </c>
      <c r="E16">
        <v>2.4777000000000002E-4</v>
      </c>
      <c r="F16" s="1">
        <v>1.1999999999999999E-6</v>
      </c>
      <c r="G16">
        <v>1591.5</v>
      </c>
      <c r="H16">
        <v>15</v>
      </c>
      <c r="J16">
        <f t="shared" si="0"/>
        <v>4.9999532380000007</v>
      </c>
      <c r="K16">
        <f t="shared" si="1"/>
        <v>2.1997000000000002E-4</v>
      </c>
      <c r="L16">
        <f t="shared" si="2"/>
        <v>4.3995777890146096E-6</v>
      </c>
      <c r="M16">
        <v>5</v>
      </c>
      <c r="N16">
        <f t="shared" si="3"/>
        <v>-9.3523999998845753</v>
      </c>
      <c r="O16">
        <f t="shared" si="4"/>
        <v>-11.727399999762707</v>
      </c>
    </row>
    <row r="17" spans="1:15" x14ac:dyDescent="0.25">
      <c r="A17" s="2">
        <v>45201.035636574074</v>
      </c>
      <c r="B17" t="s">
        <v>38</v>
      </c>
      <c r="C17">
        <v>5.0001065530000002</v>
      </c>
      <c r="D17" s="1">
        <v>7.3799999999999999E-8</v>
      </c>
      <c r="E17">
        <v>2.2987999999999999E-4</v>
      </c>
      <c r="F17" s="1">
        <v>6.1099999999999995E-7</v>
      </c>
      <c r="G17">
        <v>1591.5</v>
      </c>
      <c r="H17">
        <v>15</v>
      </c>
      <c r="J17">
        <f t="shared" si="0"/>
        <v>5.0001066530000005</v>
      </c>
      <c r="K17">
        <f t="shared" si="1"/>
        <v>2.0207999999999999E-4</v>
      </c>
      <c r="L17">
        <f t="shared" si="2"/>
        <v>4.0416393187844331E-6</v>
      </c>
      <c r="M17">
        <v>5</v>
      </c>
      <c r="N17">
        <f t="shared" si="3"/>
        <v>21.330600000091238</v>
      </c>
      <c r="O17">
        <f t="shared" si="4"/>
        <v>18.955600000213106</v>
      </c>
    </row>
    <row r="18" spans="1:15" x14ac:dyDescent="0.25">
      <c r="A18" s="2">
        <v>45201.037106481483</v>
      </c>
      <c r="B18" t="s">
        <v>40</v>
      </c>
      <c r="C18">
        <v>0.50005168300000002</v>
      </c>
      <c r="D18" s="1">
        <v>1.18E-7</v>
      </c>
      <c r="E18" s="1">
        <v>7.86E-5</v>
      </c>
      <c r="F18" s="1">
        <v>7.0299999999999998E-7</v>
      </c>
      <c r="G18">
        <v>1591.5</v>
      </c>
      <c r="H18">
        <v>15</v>
      </c>
      <c r="J18">
        <f t="shared" si="0"/>
        <v>0.50005178299999997</v>
      </c>
      <c r="K18">
        <f t="shared" si="1"/>
        <v>5.0800000000000002E-5</v>
      </c>
      <c r="L18">
        <f t="shared" si="2"/>
        <v>1.0159263408488369E-5</v>
      </c>
      <c r="M18">
        <v>0.5</v>
      </c>
      <c r="N18">
        <f t="shared" si="3"/>
        <v>103.56599999994387</v>
      </c>
      <c r="O18">
        <f t="shared" si="4"/>
        <v>101.19100000006574</v>
      </c>
    </row>
    <row r="19" spans="1:15" x14ac:dyDescent="0.25">
      <c r="A19" s="2">
        <v>45201.038784722223</v>
      </c>
      <c r="B19" t="s">
        <v>42</v>
      </c>
      <c r="C19">
        <v>1000.142071</v>
      </c>
      <c r="D19" s="1">
        <v>5.3900000000000001E-6</v>
      </c>
      <c r="E19">
        <v>0.21604699999999999</v>
      </c>
      <c r="F19">
        <v>4.3836199999999997E-4</v>
      </c>
      <c r="G19">
        <v>1591.5</v>
      </c>
      <c r="H19">
        <v>1.5</v>
      </c>
      <c r="J19">
        <f t="shared" si="0"/>
        <v>1000.1420711</v>
      </c>
      <c r="K19">
        <f t="shared" si="1"/>
        <v>0.21601919999999999</v>
      </c>
      <c r="L19">
        <f t="shared" si="2"/>
        <v>2.1599522273208728E-5</v>
      </c>
      <c r="M19">
        <v>1000</v>
      </c>
      <c r="N19">
        <f t="shared" si="3"/>
        <v>142.07109999997414</v>
      </c>
      <c r="O19">
        <f t="shared" si="4"/>
        <v>139.69610000009601</v>
      </c>
    </row>
    <row r="20" spans="1:15" x14ac:dyDescent="0.25">
      <c r="A20" s="2">
        <v>45201.003310185188</v>
      </c>
      <c r="B20" t="s">
        <v>44</v>
      </c>
      <c r="C20">
        <v>10.000420310000001</v>
      </c>
      <c r="D20" s="1">
        <v>1.8099999999999999E-7</v>
      </c>
      <c r="E20">
        <v>4.6841999999999999E-4</v>
      </c>
      <c r="F20" s="1">
        <v>1.84E-6</v>
      </c>
      <c r="G20">
        <v>1591.5</v>
      </c>
      <c r="H20">
        <v>15</v>
      </c>
      <c r="J20">
        <f t="shared" si="0"/>
        <v>10.00042041</v>
      </c>
      <c r="K20">
        <f t="shared" si="1"/>
        <v>4.4061999999999997E-4</v>
      </c>
      <c r="L20">
        <f t="shared" si="2"/>
        <v>4.4061516145866892E-6</v>
      </c>
      <c r="M20">
        <v>10</v>
      </c>
      <c r="N20">
        <f t="shared" si="3"/>
        <v>42.040999999937156</v>
      </c>
      <c r="O20">
        <f t="shared" si="4"/>
        <v>39.666000000059022</v>
      </c>
    </row>
    <row r="21" spans="1:15" x14ac:dyDescent="0.25">
      <c r="A21" s="2">
        <v>45201.004155092596</v>
      </c>
      <c r="B21" t="s">
        <v>46</v>
      </c>
      <c r="C21">
        <v>10.000173589999999</v>
      </c>
      <c r="D21" s="1">
        <v>1.5800000000000001E-7</v>
      </c>
      <c r="E21">
        <v>4.6906999999999998E-4</v>
      </c>
      <c r="F21" s="1">
        <v>1.81E-6</v>
      </c>
      <c r="G21">
        <v>1591.5</v>
      </c>
      <c r="H21">
        <v>15</v>
      </c>
      <c r="J21">
        <f t="shared" si="0"/>
        <v>10.000173689999999</v>
      </c>
      <c r="K21">
        <f t="shared" si="1"/>
        <v>4.4126999999999995E-4</v>
      </c>
      <c r="L21">
        <f t="shared" si="2"/>
        <v>4.4127604102567785E-6</v>
      </c>
      <c r="M21">
        <v>10</v>
      </c>
      <c r="N21">
        <f t="shared" si="3"/>
        <v>17.368999999822776</v>
      </c>
      <c r="O21">
        <f t="shared" si="4"/>
        <v>14.993999999944645</v>
      </c>
    </row>
    <row r="22" spans="1:15" x14ac:dyDescent="0.25">
      <c r="A22" s="2">
        <v>45201.005219907405</v>
      </c>
      <c r="B22" t="s">
        <v>47</v>
      </c>
      <c r="C22">
        <v>10.000143169999999</v>
      </c>
      <c r="D22" s="1">
        <v>2.1899999999999999E-7</v>
      </c>
      <c r="E22">
        <v>4.5824E-4</v>
      </c>
      <c r="F22" s="1">
        <v>2.0899999999999999E-6</v>
      </c>
      <c r="G22">
        <v>1591.5</v>
      </c>
      <c r="H22">
        <v>15</v>
      </c>
      <c r="J22">
        <f t="shared" si="0"/>
        <v>10.000143269999999</v>
      </c>
      <c r="K22">
        <f t="shared" si="1"/>
        <v>4.3043999999999998E-4</v>
      </c>
      <c r="L22">
        <f t="shared" si="2"/>
        <v>4.3044720215965747E-6</v>
      </c>
      <c r="M22">
        <v>10</v>
      </c>
      <c r="N22">
        <f t="shared" si="3"/>
        <v>14.32699999992515</v>
      </c>
      <c r="O22">
        <f t="shared" si="4"/>
        <v>11.952000000047018</v>
      </c>
    </row>
    <row r="23" spans="1:15" x14ac:dyDescent="0.25">
      <c r="A23" s="2">
        <v>45201.005937499998</v>
      </c>
      <c r="B23" t="s">
        <v>48</v>
      </c>
      <c r="C23">
        <v>10.000250360000001</v>
      </c>
      <c r="D23" s="1">
        <v>1.91E-7</v>
      </c>
      <c r="E23">
        <v>4.9038E-4</v>
      </c>
      <c r="F23" s="1">
        <v>1.5200000000000001E-6</v>
      </c>
      <c r="G23">
        <v>1591.5</v>
      </c>
      <c r="H23">
        <v>15</v>
      </c>
      <c r="J23">
        <f t="shared" si="0"/>
        <v>10.00025046</v>
      </c>
      <c r="K23">
        <f t="shared" si="1"/>
        <v>4.6257999999999998E-4</v>
      </c>
      <c r="L23">
        <f t="shared" si="2"/>
        <v>4.6258278157514593E-6</v>
      </c>
      <c r="M23">
        <v>10</v>
      </c>
      <c r="N23">
        <f t="shared" si="3"/>
        <v>25.045999999973034</v>
      </c>
      <c r="O23">
        <f t="shared" si="4"/>
        <v>22.671000000094903</v>
      </c>
    </row>
    <row r="24" spans="1:15" x14ac:dyDescent="0.25">
      <c r="A24" s="2">
        <v>45201.006793981483</v>
      </c>
      <c r="B24" t="s">
        <v>49</v>
      </c>
      <c r="C24">
        <v>10.00000249</v>
      </c>
      <c r="D24" s="1">
        <v>2.0200000000000001E-7</v>
      </c>
      <c r="E24">
        <v>4.5965999999999997E-4</v>
      </c>
      <c r="F24" s="1">
        <v>2.1100000000000001E-6</v>
      </c>
      <c r="G24">
        <v>1591.5</v>
      </c>
      <c r="H24">
        <v>15</v>
      </c>
      <c r="J24">
        <f t="shared" si="0"/>
        <v>10.000002589999999</v>
      </c>
      <c r="K24">
        <f t="shared" si="1"/>
        <v>4.3185999999999995E-4</v>
      </c>
      <c r="L24">
        <f t="shared" si="2"/>
        <v>4.3187330142578211E-6</v>
      </c>
      <c r="M24">
        <v>10</v>
      </c>
      <c r="N24">
        <f t="shared" si="3"/>
        <v>0.25899999989142941</v>
      </c>
      <c r="O24">
        <f t="shared" si="4"/>
        <v>-2.1159999999867027</v>
      </c>
    </row>
    <row r="25" spans="1:15" x14ac:dyDescent="0.25">
      <c r="A25" s="2">
        <v>45201.0078587963</v>
      </c>
      <c r="B25" t="s">
        <v>50</v>
      </c>
      <c r="C25">
        <v>10.00025829</v>
      </c>
      <c r="D25" s="1">
        <v>2.2100000000000001E-7</v>
      </c>
      <c r="E25">
        <v>4.9206E-4</v>
      </c>
      <c r="F25" s="1">
        <v>1.9400000000000001E-6</v>
      </c>
      <c r="G25">
        <v>1591.5</v>
      </c>
      <c r="H25">
        <v>15</v>
      </c>
      <c r="J25">
        <f t="shared" si="0"/>
        <v>10.000258389999999</v>
      </c>
      <c r="K25">
        <f t="shared" si="1"/>
        <v>4.6425999999999998E-4</v>
      </c>
      <c r="L25">
        <f t="shared" si="2"/>
        <v>4.6426242352640119E-6</v>
      </c>
      <c r="M25">
        <v>10</v>
      </c>
      <c r="N25">
        <f t="shared" si="3"/>
        <v>25.838999999860945</v>
      </c>
      <c r="O25">
        <f t="shared" si="4"/>
        <v>23.463999999982814</v>
      </c>
    </row>
    <row r="26" spans="1:15" x14ac:dyDescent="0.25">
      <c r="A26" s="2">
        <v>45201.009317129632</v>
      </c>
      <c r="B26" t="s">
        <v>51</v>
      </c>
      <c r="C26">
        <v>10.00035883</v>
      </c>
      <c r="D26" s="1">
        <v>8.9999999999999999E-8</v>
      </c>
      <c r="E26">
        <v>4.8147000000000001E-4</v>
      </c>
      <c r="F26" s="1">
        <v>1.5200000000000001E-6</v>
      </c>
      <c r="G26">
        <v>1591.5</v>
      </c>
      <c r="H26">
        <v>15</v>
      </c>
      <c r="J26">
        <f t="shared" si="0"/>
        <v>10.000358929999999</v>
      </c>
      <c r="K26">
        <f t="shared" si="1"/>
        <v>4.5366999999999998E-4</v>
      </c>
      <c r="L26">
        <f t="shared" si="2"/>
        <v>4.5366780718628622E-6</v>
      </c>
      <c r="M26">
        <v>10</v>
      </c>
      <c r="N26">
        <f t="shared" si="3"/>
        <v>35.892999999953545</v>
      </c>
      <c r="O26">
        <f t="shared" si="4"/>
        <v>33.518000000075411</v>
      </c>
    </row>
    <row r="27" spans="1:15" x14ac:dyDescent="0.25">
      <c r="A27" s="2">
        <v>45201.010833333334</v>
      </c>
      <c r="B27" t="s">
        <v>53</v>
      </c>
      <c r="C27">
        <v>10.000275070000001</v>
      </c>
      <c r="D27" s="1">
        <v>1.6199999999999999E-7</v>
      </c>
      <c r="E27">
        <v>4.8210000000000001E-4</v>
      </c>
      <c r="F27" s="1">
        <v>1.9400000000000001E-6</v>
      </c>
      <c r="G27">
        <v>1591.5</v>
      </c>
      <c r="H27">
        <v>15</v>
      </c>
      <c r="J27">
        <f t="shared" si="0"/>
        <v>10.00027517</v>
      </c>
      <c r="K27">
        <f t="shared" si="1"/>
        <v>4.5429999999999998E-4</v>
      </c>
      <c r="L27">
        <f t="shared" si="2"/>
        <v>4.5430160923488419E-6</v>
      </c>
      <c r="M27">
        <v>10</v>
      </c>
      <c r="N27">
        <f t="shared" si="3"/>
        <v>27.51699999992141</v>
      </c>
      <c r="O27">
        <f t="shared" si="4"/>
        <v>25.142000000043279</v>
      </c>
    </row>
    <row r="28" spans="1:15" x14ac:dyDescent="0.25">
      <c r="A28" s="2">
        <v>45201.012326388889</v>
      </c>
      <c r="B28" t="s">
        <v>54</v>
      </c>
      <c r="C28">
        <v>10.000406570000001</v>
      </c>
      <c r="D28" s="1">
        <v>2.4900000000000002E-7</v>
      </c>
      <c r="E28">
        <v>4.8921000000000001E-4</v>
      </c>
      <c r="F28" s="1">
        <v>2.08E-6</v>
      </c>
      <c r="G28">
        <v>1591.5</v>
      </c>
      <c r="H28">
        <v>15</v>
      </c>
      <c r="J28">
        <f t="shared" si="0"/>
        <v>10.00040667</v>
      </c>
      <c r="K28">
        <f t="shared" si="1"/>
        <v>4.6140999999999999E-4</v>
      </c>
      <c r="L28">
        <f t="shared" si="2"/>
        <v>4.6140556710388333E-6</v>
      </c>
      <c r="M28">
        <v>10</v>
      </c>
      <c r="N28">
        <f t="shared" si="3"/>
        <v>40.666999999938724</v>
      </c>
      <c r="O28">
        <f t="shared" si="4"/>
        <v>38.29200000006059</v>
      </c>
    </row>
    <row r="29" spans="1:15" x14ac:dyDescent="0.25">
      <c r="A29" s="2">
        <v>45201.013449074075</v>
      </c>
      <c r="B29" t="s">
        <v>55</v>
      </c>
      <c r="C29">
        <v>10.00043559</v>
      </c>
      <c r="D29" s="1">
        <v>1.92E-7</v>
      </c>
      <c r="E29">
        <v>4.749E-4</v>
      </c>
      <c r="F29" s="1">
        <v>1.53E-6</v>
      </c>
      <c r="G29">
        <v>1591.5</v>
      </c>
      <c r="H29">
        <v>15</v>
      </c>
      <c r="J29">
        <f t="shared" si="0"/>
        <v>10.00043569</v>
      </c>
      <c r="K29">
        <f t="shared" si="1"/>
        <v>4.4709999999999997E-4</v>
      </c>
      <c r="L29">
        <f t="shared" si="2"/>
        <v>4.4709440716888505E-6</v>
      </c>
      <c r="M29">
        <v>10</v>
      </c>
      <c r="N29">
        <f t="shared" si="3"/>
        <v>43.569000000021063</v>
      </c>
      <c r="O29">
        <f t="shared" si="4"/>
        <v>41.194000000142928</v>
      </c>
    </row>
    <row r="30" spans="1:15" x14ac:dyDescent="0.25">
      <c r="A30" s="2">
        <v>45201.014340277776</v>
      </c>
      <c r="B30" t="s">
        <v>56</v>
      </c>
      <c r="C30">
        <v>10.000252489999999</v>
      </c>
      <c r="D30" s="1">
        <v>2.3900000000000001E-7</v>
      </c>
      <c r="E30">
        <v>4.7172000000000002E-4</v>
      </c>
      <c r="F30" s="1">
        <v>1.6700000000000001E-6</v>
      </c>
      <c r="G30">
        <v>1591.5</v>
      </c>
      <c r="H30">
        <v>15</v>
      </c>
      <c r="I30" t="s">
        <v>184</v>
      </c>
      <c r="J30">
        <f t="shared" si="0"/>
        <v>10.000252589999999</v>
      </c>
      <c r="K30">
        <f t="shared" si="1"/>
        <v>4.4391999999999999E-4</v>
      </c>
      <c r="L30">
        <f t="shared" si="2"/>
        <v>4.439225748161339E-6</v>
      </c>
      <c r="M30">
        <v>10</v>
      </c>
      <c r="N30">
        <f t="shared" si="3"/>
        <v>25.258999999833165</v>
      </c>
      <c r="O30">
        <f t="shared" si="4"/>
        <v>22.883999999955034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8D1B-1A5E-4228-BCA6-F38F9ACF7235}">
  <dimension ref="A1:P30"/>
  <sheetViews>
    <sheetView workbookViewId="0">
      <selection activeCell="I3" sqref="I3"/>
    </sheetView>
  </sheetViews>
  <sheetFormatPr defaultRowHeight="15" x14ac:dyDescent="0.25"/>
  <cols>
    <col min="1" max="1" width="14.85546875" bestFit="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-2.374660000072045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9">
        <v>45278.002175925925</v>
      </c>
      <c r="B3" t="s">
        <v>17</v>
      </c>
      <c r="C3" s="1">
        <v>-1.2599999999999999E-7</v>
      </c>
      <c r="D3" s="1">
        <v>4.2499999999999997E-8</v>
      </c>
      <c r="E3" s="1">
        <v>2.8900000000000001E-5</v>
      </c>
      <c r="F3" s="1">
        <v>7.37E-7</v>
      </c>
      <c r="G3">
        <v>1591.5</v>
      </c>
      <c r="H3">
        <v>15</v>
      </c>
      <c r="I3" t="s">
        <v>194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9">
        <v>45278.004652777781</v>
      </c>
      <c r="B4" t="s">
        <v>21</v>
      </c>
      <c r="C4">
        <v>9.9999766559999994</v>
      </c>
      <c r="D4" s="1">
        <v>6.3399999999999999E-8</v>
      </c>
      <c r="E4" s="1">
        <v>-9.7899999999999994E-5</v>
      </c>
      <c r="F4" s="1">
        <v>1.28E-6</v>
      </c>
      <c r="G4">
        <v>1591.5</v>
      </c>
      <c r="H4">
        <v>15</v>
      </c>
      <c r="I4" t="s">
        <v>195</v>
      </c>
      <c r="J4">
        <f t="shared" ref="J4:J30" si="0">C4-C$3</f>
        <v>9.9999767819999992</v>
      </c>
      <c r="K4">
        <f>E4-E$3</f>
        <v>-1.2679999999999999E-4</v>
      </c>
      <c r="L4">
        <f>K4*0.000000001/(2*PI()*J4*G4*0.000000000001)</f>
        <v>-1.2680423273673382E-6</v>
      </c>
      <c r="M4">
        <v>10</v>
      </c>
      <c r="N4">
        <f>(J4/M4-1)*1000000</f>
        <v>-2.3218000000380101</v>
      </c>
      <c r="O4">
        <f>N4+P$1</f>
        <v>-4.6964600001100552</v>
      </c>
    </row>
    <row r="5" spans="1:16" x14ac:dyDescent="0.25">
      <c r="A5" s="9">
        <v>45278.006076388891</v>
      </c>
      <c r="B5" t="s">
        <v>23</v>
      </c>
      <c r="C5">
        <v>9.9999787819999995</v>
      </c>
      <c r="D5" s="1">
        <v>1.6199999999999999E-7</v>
      </c>
      <c r="E5" s="1">
        <v>-2.6999999999999999E-5</v>
      </c>
      <c r="F5" s="1">
        <v>1.5099999999999999E-6</v>
      </c>
      <c r="G5">
        <v>1591.5</v>
      </c>
      <c r="H5">
        <v>15</v>
      </c>
      <c r="J5">
        <f t="shared" si="0"/>
        <v>9.9999789079999992</v>
      </c>
      <c r="K5">
        <f t="shared" ref="K5:K30" si="1">E5-E$3</f>
        <v>-5.5900000000000004E-5</v>
      </c>
      <c r="L5">
        <f t="shared" ref="L5:L30" si="2">K5*0.000000001/(2*PI()*J5*G5*0.000000000001)</f>
        <v>-5.5901854124571196E-7</v>
      </c>
      <c r="M5">
        <v>10</v>
      </c>
      <c r="N5">
        <f t="shared" ref="N5:N30" si="3">(J5/M5-1)*1000000</f>
        <v>-2.1092000000999533</v>
      </c>
      <c r="O5">
        <f t="shared" ref="O5:O30" si="4">N5+P$1</f>
        <v>-4.4838600001719984</v>
      </c>
    </row>
    <row r="6" spans="1:16" x14ac:dyDescent="0.25">
      <c r="A6" s="9">
        <v>45278.007569444446</v>
      </c>
      <c r="B6" t="s">
        <v>24</v>
      </c>
      <c r="C6">
        <v>99.999817340000007</v>
      </c>
      <c r="D6" s="1">
        <v>6.6300000000000005E-8</v>
      </c>
      <c r="E6">
        <v>1.8793E-3</v>
      </c>
      <c r="F6" s="1">
        <v>9.9999999999999995E-7</v>
      </c>
      <c r="G6">
        <v>1591.5</v>
      </c>
      <c r="H6">
        <v>15</v>
      </c>
      <c r="J6">
        <f t="shared" si="0"/>
        <v>99.99981746600001</v>
      </c>
      <c r="K6">
        <f t="shared" si="1"/>
        <v>1.8503999999999999E-3</v>
      </c>
      <c r="L6">
        <f t="shared" si="2"/>
        <v>1.8504608498989265E-6</v>
      </c>
      <c r="M6">
        <v>100</v>
      </c>
      <c r="N6">
        <f t="shared" si="3"/>
        <v>-1.8253399999279551</v>
      </c>
      <c r="O6">
        <f t="shared" si="4"/>
        <v>-4.2</v>
      </c>
    </row>
    <row r="7" spans="1:16" x14ac:dyDescent="0.25">
      <c r="A7" s="9">
        <v>45278.009120370371</v>
      </c>
      <c r="B7" t="s">
        <v>25</v>
      </c>
      <c r="C7">
        <v>99.999825310000006</v>
      </c>
      <c r="D7" s="1">
        <v>7.0000000000000005E-8</v>
      </c>
      <c r="E7">
        <v>2.2476000000000002E-3</v>
      </c>
      <c r="F7" s="1">
        <v>1.1999999999999999E-6</v>
      </c>
      <c r="G7">
        <v>1591.5</v>
      </c>
      <c r="H7">
        <v>15</v>
      </c>
      <c r="J7">
        <f t="shared" si="0"/>
        <v>99.999825436000009</v>
      </c>
      <c r="K7">
        <f t="shared" si="1"/>
        <v>2.2187000000000001E-3</v>
      </c>
      <c r="L7">
        <f t="shared" si="2"/>
        <v>2.2187727845073844E-6</v>
      </c>
      <c r="M7">
        <v>100</v>
      </c>
      <c r="N7">
        <f t="shared" si="3"/>
        <v>-1.7456399998838634</v>
      </c>
      <c r="O7">
        <f t="shared" si="4"/>
        <v>-4.1202999999559085</v>
      </c>
    </row>
    <row r="8" spans="1:16" x14ac:dyDescent="0.25">
      <c r="A8" s="9">
        <v>45278.011157407411</v>
      </c>
      <c r="B8" t="s">
        <v>26</v>
      </c>
      <c r="C8">
        <v>9.9999771450000008</v>
      </c>
      <c r="D8" s="1">
        <v>1.04E-7</v>
      </c>
      <c r="E8">
        <v>-2.1002999999999999E-4</v>
      </c>
      <c r="F8" s="1">
        <v>7.7199999999999998E-7</v>
      </c>
      <c r="G8">
        <v>1591.5</v>
      </c>
      <c r="H8">
        <v>15</v>
      </c>
      <c r="J8">
        <f t="shared" si="0"/>
        <v>9.9999772710000006</v>
      </c>
      <c r="K8">
        <f t="shared" si="1"/>
        <v>-2.3892999999999999E-4</v>
      </c>
      <c r="L8">
        <f t="shared" si="2"/>
        <v>-2.3893796408710364E-6</v>
      </c>
      <c r="M8">
        <v>10</v>
      </c>
      <c r="N8">
        <f t="shared" si="3"/>
        <v>-2.2728999999888089</v>
      </c>
      <c r="O8">
        <f t="shared" si="4"/>
        <v>-4.6475600000608539</v>
      </c>
    </row>
    <row r="9" spans="1:16" x14ac:dyDescent="0.25">
      <c r="A9" s="9">
        <v>45278.012349537035</v>
      </c>
      <c r="B9" t="s">
        <v>28</v>
      </c>
      <c r="C9">
        <v>9.9999747340000003</v>
      </c>
      <c r="D9" s="1">
        <v>7.54E-8</v>
      </c>
      <c r="E9">
        <v>-1.7458999999999999E-4</v>
      </c>
      <c r="F9" s="1">
        <v>4.6400000000000003E-7</v>
      </c>
      <c r="G9">
        <v>1591.5</v>
      </c>
      <c r="H9">
        <v>15</v>
      </c>
      <c r="J9">
        <f t="shared" si="0"/>
        <v>9.99997486</v>
      </c>
      <c r="K9">
        <f t="shared" si="1"/>
        <v>-2.0348999999999999E-4</v>
      </c>
      <c r="L9">
        <f t="shared" si="2"/>
        <v>-2.0349683185349073E-6</v>
      </c>
      <c r="M9">
        <v>10</v>
      </c>
      <c r="N9">
        <f t="shared" si="3"/>
        <v>-2.5139999999534979</v>
      </c>
      <c r="O9">
        <f t="shared" si="4"/>
        <v>-4.8886600000255429</v>
      </c>
    </row>
    <row r="10" spans="1:16" x14ac:dyDescent="0.25">
      <c r="A10" s="9">
        <v>45278.015451388892</v>
      </c>
      <c r="B10" t="s">
        <v>29</v>
      </c>
      <c r="C10">
        <v>99.999793210000007</v>
      </c>
      <c r="D10" s="1">
        <v>1.04E-7</v>
      </c>
      <c r="E10">
        <v>8.6740000000000005E-4</v>
      </c>
      <c r="F10" s="1">
        <v>6.6300000000000005E-7</v>
      </c>
      <c r="G10">
        <v>1591.5</v>
      </c>
      <c r="H10">
        <v>15</v>
      </c>
      <c r="J10">
        <f t="shared" si="0"/>
        <v>99.99979333600001</v>
      </c>
      <c r="K10">
        <f t="shared" si="1"/>
        <v>8.3850000000000005E-4</v>
      </c>
      <c r="L10">
        <f t="shared" si="2"/>
        <v>8.3852777618075022E-7</v>
      </c>
      <c r="M10">
        <v>100</v>
      </c>
      <c r="N10">
        <f t="shared" si="3"/>
        <v>-2.0666399999091922</v>
      </c>
      <c r="O10">
        <f t="shared" si="4"/>
        <v>-4.4412999999812373</v>
      </c>
    </row>
    <row r="11" spans="1:16" x14ac:dyDescent="0.25">
      <c r="A11" s="9">
        <v>45278.016562500001</v>
      </c>
      <c r="B11" t="s">
        <v>30</v>
      </c>
      <c r="C11">
        <v>99.999883170000004</v>
      </c>
      <c r="D11" s="1">
        <v>1.1899999999999999E-7</v>
      </c>
      <c r="E11">
        <v>9.5109999999999997E-4</v>
      </c>
      <c r="F11" s="1">
        <v>6.9999999999999997E-7</v>
      </c>
      <c r="G11">
        <v>1591.5</v>
      </c>
      <c r="H11">
        <v>15</v>
      </c>
      <c r="J11">
        <f t="shared" si="0"/>
        <v>99.999883296000007</v>
      </c>
      <c r="K11">
        <f t="shared" si="1"/>
        <v>9.2219999999999997E-4</v>
      </c>
      <c r="L11">
        <f t="shared" si="2"/>
        <v>9.2222971919034986E-7</v>
      </c>
      <c r="M11">
        <v>100</v>
      </c>
      <c r="N11">
        <f t="shared" si="3"/>
        <v>-1.1670399999719194</v>
      </c>
      <c r="O11">
        <f t="shared" si="4"/>
        <v>-3.5417000000439645</v>
      </c>
    </row>
    <row r="12" spans="1:16" x14ac:dyDescent="0.25">
      <c r="A12" s="9">
        <v>45278.020960648151</v>
      </c>
      <c r="B12" t="s">
        <v>31</v>
      </c>
      <c r="C12">
        <v>10.000186129999999</v>
      </c>
      <c r="D12" s="1">
        <v>1.6199999999999999E-7</v>
      </c>
      <c r="E12">
        <v>7.8025000000000002E-4</v>
      </c>
      <c r="F12" s="1">
        <v>1.0499999999999999E-6</v>
      </c>
      <c r="G12">
        <v>1591.5</v>
      </c>
      <c r="H12">
        <v>15</v>
      </c>
      <c r="J12">
        <f t="shared" si="0"/>
        <v>10.000186255999999</v>
      </c>
      <c r="K12">
        <f t="shared" si="1"/>
        <v>7.5135000000000002E-4</v>
      </c>
      <c r="L12">
        <f t="shared" si="2"/>
        <v>7.513593419067984E-6</v>
      </c>
      <c r="M12">
        <v>10</v>
      </c>
      <c r="N12">
        <f t="shared" si="3"/>
        <v>18.625599999877451</v>
      </c>
      <c r="O12">
        <f t="shared" si="4"/>
        <v>16.250939999805407</v>
      </c>
    </row>
    <row r="13" spans="1:16" x14ac:dyDescent="0.25">
      <c r="A13" s="9">
        <v>45278.022430555553</v>
      </c>
      <c r="B13" t="s">
        <v>33</v>
      </c>
      <c r="C13">
        <v>100.00409000000001</v>
      </c>
      <c r="D13">
        <v>0</v>
      </c>
      <c r="E13">
        <v>6.4669000000000003E-3</v>
      </c>
      <c r="F13" s="1">
        <v>2.6199999999999999E-6</v>
      </c>
      <c r="G13">
        <v>1591.5</v>
      </c>
      <c r="H13">
        <v>15</v>
      </c>
      <c r="J13">
        <f t="shared" si="0"/>
        <v>100.00409012600001</v>
      </c>
      <c r="K13">
        <f t="shared" si="1"/>
        <v>6.4380000000000001E-3</v>
      </c>
      <c r="L13">
        <f t="shared" si="2"/>
        <v>6.4379366402269749E-6</v>
      </c>
      <c r="M13">
        <v>100</v>
      </c>
      <c r="N13">
        <f t="shared" si="3"/>
        <v>40.901260000003603</v>
      </c>
      <c r="O13">
        <f t="shared" si="4"/>
        <v>38.526599999931555</v>
      </c>
    </row>
    <row r="14" spans="1:16" x14ac:dyDescent="0.25">
      <c r="A14" s="9">
        <v>45278.026122685187</v>
      </c>
      <c r="B14" t="s">
        <v>34</v>
      </c>
      <c r="C14">
        <v>1000.032156</v>
      </c>
      <c r="D14" s="1">
        <v>4.8999999999999997E-6</v>
      </c>
      <c r="E14">
        <v>0.14235200000000001</v>
      </c>
      <c r="F14">
        <v>1.7081E-4</v>
      </c>
      <c r="G14">
        <v>1591.5</v>
      </c>
      <c r="H14">
        <v>1.5</v>
      </c>
      <c r="J14">
        <f t="shared" si="0"/>
        <v>1000.032156126</v>
      </c>
      <c r="K14">
        <f t="shared" si="1"/>
        <v>0.14232310000000001</v>
      </c>
      <c r="L14">
        <f t="shared" si="2"/>
        <v>1.4232294390518861E-5</v>
      </c>
      <c r="M14">
        <v>1000</v>
      </c>
      <c r="N14">
        <f t="shared" si="3"/>
        <v>32.156125999938112</v>
      </c>
      <c r="O14">
        <f t="shared" si="4"/>
        <v>29.781465999866068</v>
      </c>
    </row>
    <row r="15" spans="1:16" x14ac:dyDescent="0.25">
      <c r="A15" s="9">
        <v>45278.02815972222</v>
      </c>
      <c r="B15" t="s">
        <v>35</v>
      </c>
      <c r="C15">
        <v>1000.003652</v>
      </c>
      <c r="D15" s="1">
        <v>6.6500000000000004E-5</v>
      </c>
      <c r="E15">
        <v>0.15298400000000001</v>
      </c>
      <c r="F15">
        <v>3.56993E-4</v>
      </c>
      <c r="G15">
        <v>1591.5</v>
      </c>
      <c r="H15">
        <v>1.5</v>
      </c>
      <c r="J15">
        <f t="shared" si="0"/>
        <v>1000.003652126</v>
      </c>
      <c r="K15">
        <f t="shared" si="1"/>
        <v>0.15295510000000001</v>
      </c>
      <c r="L15">
        <f t="shared" si="2"/>
        <v>1.5295929205586294E-5</v>
      </c>
      <c r="M15">
        <v>1000</v>
      </c>
      <c r="N15">
        <f t="shared" si="3"/>
        <v>3.6521260000643707</v>
      </c>
      <c r="O15">
        <f t="shared" si="4"/>
        <v>1.2774659999923257</v>
      </c>
    </row>
    <row r="16" spans="1:16" x14ac:dyDescent="0.25">
      <c r="A16" s="9">
        <v>45278.029826388891</v>
      </c>
      <c r="B16" t="s">
        <v>36</v>
      </c>
      <c r="C16">
        <v>4.9999506199999999</v>
      </c>
      <c r="D16" s="1">
        <v>4.8300000000000003E-6</v>
      </c>
      <c r="E16">
        <v>1.7919999999999999E-4</v>
      </c>
      <c r="F16" s="1">
        <v>3.8800000000000001E-5</v>
      </c>
      <c r="G16">
        <v>1591.5</v>
      </c>
      <c r="H16">
        <v>15</v>
      </c>
      <c r="J16">
        <f t="shared" si="0"/>
        <v>4.9999507459999997</v>
      </c>
      <c r="K16">
        <f t="shared" si="1"/>
        <v>1.5029999999999999E-4</v>
      </c>
      <c r="L16">
        <f t="shared" si="2"/>
        <v>3.0061229770532467E-6</v>
      </c>
      <c r="M16">
        <v>5</v>
      </c>
      <c r="N16">
        <f t="shared" si="3"/>
        <v>-9.8508000000441243</v>
      </c>
      <c r="O16">
        <f t="shared" si="4"/>
        <v>-12.225460000116168</v>
      </c>
    </row>
    <row r="17" spans="1:15" x14ac:dyDescent="0.25">
      <c r="A17" s="9">
        <v>45278.030972222223</v>
      </c>
      <c r="B17" t="s">
        <v>38</v>
      </c>
      <c r="C17">
        <v>5.0001037970000004</v>
      </c>
      <c r="D17" s="1">
        <v>8.1600000000000003E-8</v>
      </c>
      <c r="E17">
        <v>1.4117000000000001E-4</v>
      </c>
      <c r="F17" s="1">
        <v>6.9500000000000004E-6</v>
      </c>
      <c r="G17">
        <v>1591.5</v>
      </c>
      <c r="H17">
        <v>15</v>
      </c>
      <c r="J17">
        <f t="shared" si="0"/>
        <v>5.0001039230000002</v>
      </c>
      <c r="K17">
        <f t="shared" si="1"/>
        <v>1.1227000000000001E-4</v>
      </c>
      <c r="L17">
        <f t="shared" si="2"/>
        <v>2.2454230703925436E-6</v>
      </c>
      <c r="M17">
        <v>5</v>
      </c>
      <c r="N17">
        <f t="shared" si="3"/>
        <v>20.78459999999005</v>
      </c>
      <c r="O17">
        <f t="shared" si="4"/>
        <v>18.409939999918006</v>
      </c>
    </row>
    <row r="18" spans="1:15" x14ac:dyDescent="0.25">
      <c r="A18" s="9">
        <v>45278.032337962963</v>
      </c>
      <c r="B18" t="s">
        <v>40</v>
      </c>
      <c r="C18">
        <v>0.50005053899999996</v>
      </c>
      <c r="D18" s="1">
        <v>8.7499999999999996E-8</v>
      </c>
      <c r="E18" s="1">
        <v>7.4099999999999999E-5</v>
      </c>
      <c r="F18" s="1">
        <v>8.7199999999999997E-7</v>
      </c>
      <c r="G18">
        <v>1591.5</v>
      </c>
      <c r="H18">
        <v>15</v>
      </c>
      <c r="J18">
        <f t="shared" si="0"/>
        <v>0.50005066499999995</v>
      </c>
      <c r="K18">
        <f t="shared" si="1"/>
        <v>4.5200000000000001E-5</v>
      </c>
      <c r="L18">
        <f t="shared" si="2"/>
        <v>9.0393648174793139E-6</v>
      </c>
      <c r="M18">
        <v>0.5</v>
      </c>
      <c r="N18">
        <f t="shared" si="3"/>
        <v>101.32999999989956</v>
      </c>
      <c r="O18">
        <f t="shared" si="4"/>
        <v>98.955339999827515</v>
      </c>
    </row>
    <row r="19" spans="1:15" x14ac:dyDescent="0.25">
      <c r="A19" s="9">
        <v>45278.034942129627</v>
      </c>
      <c r="B19" t="s">
        <v>42</v>
      </c>
      <c r="C19">
        <v>1000.16594</v>
      </c>
      <c r="D19" s="1">
        <v>1.1399999999999999E-13</v>
      </c>
      <c r="E19">
        <v>0.176459</v>
      </c>
      <c r="F19">
        <v>1.83E-4</v>
      </c>
      <c r="G19">
        <v>1591.5</v>
      </c>
      <c r="H19">
        <v>1.5</v>
      </c>
      <c r="I19" t="s">
        <v>196</v>
      </c>
      <c r="J19">
        <f t="shared" si="0"/>
        <v>1000.165940126</v>
      </c>
      <c r="K19">
        <f t="shared" si="1"/>
        <v>0.17643010000000001</v>
      </c>
      <c r="L19">
        <f t="shared" si="2"/>
        <v>1.7640630691537546E-5</v>
      </c>
      <c r="M19">
        <v>1000</v>
      </c>
      <c r="N19">
        <f t="shared" si="3"/>
        <v>165.94012599990828</v>
      </c>
      <c r="O19">
        <f t="shared" si="4"/>
        <v>163.56546599983622</v>
      </c>
    </row>
    <row r="20" spans="1:15" x14ac:dyDescent="0.25">
      <c r="A20" s="9">
        <v>45278.001701388886</v>
      </c>
      <c r="B20" t="s">
        <v>44</v>
      </c>
      <c r="C20">
        <v>10.00042603</v>
      </c>
      <c r="D20" s="1">
        <v>1.85E-7</v>
      </c>
      <c r="E20">
        <v>3.4749999999999999E-4</v>
      </c>
      <c r="F20" s="1">
        <v>2.9299999999999999E-6</v>
      </c>
      <c r="G20">
        <v>1591.5</v>
      </c>
      <c r="H20">
        <v>15</v>
      </c>
      <c r="J20">
        <f t="shared" si="0"/>
        <v>10.000426156</v>
      </c>
      <c r="K20">
        <f t="shared" si="1"/>
        <v>3.1859999999999999E-4</v>
      </c>
      <c r="L20">
        <f t="shared" si="2"/>
        <v>3.1859631832832551E-6</v>
      </c>
      <c r="M20">
        <v>10</v>
      </c>
      <c r="N20">
        <f t="shared" si="3"/>
        <v>42.615599999962228</v>
      </c>
      <c r="O20">
        <f t="shared" si="4"/>
        <v>40.24093999989018</v>
      </c>
    </row>
    <row r="21" spans="1:15" x14ac:dyDescent="0.25">
      <c r="A21" s="9">
        <v>45278.003530092596</v>
      </c>
      <c r="B21" t="s">
        <v>46</v>
      </c>
      <c r="C21">
        <v>10.000178910000001</v>
      </c>
      <c r="D21" s="1">
        <v>2.0699999999999999E-7</v>
      </c>
      <c r="E21">
        <v>3.4678999999999998E-4</v>
      </c>
      <c r="F21" s="1">
        <v>2.9100000000000001E-6</v>
      </c>
      <c r="G21">
        <v>1591.5</v>
      </c>
      <c r="H21">
        <v>15</v>
      </c>
      <c r="J21">
        <f t="shared" si="0"/>
        <v>10.000179036</v>
      </c>
      <c r="K21">
        <f t="shared" si="1"/>
        <v>3.1788999999999998E-4</v>
      </c>
      <c r="L21">
        <f t="shared" si="2"/>
        <v>3.178941819991898E-6</v>
      </c>
      <c r="M21">
        <v>10</v>
      </c>
      <c r="N21">
        <f t="shared" si="3"/>
        <v>17.903600000090947</v>
      </c>
      <c r="O21">
        <f t="shared" si="4"/>
        <v>15.528940000018903</v>
      </c>
    </row>
    <row r="22" spans="1:15" x14ac:dyDescent="0.25">
      <c r="A22" s="9">
        <v>45278.005532407406</v>
      </c>
      <c r="B22" t="s">
        <v>47</v>
      </c>
      <c r="C22">
        <v>10.00014912</v>
      </c>
      <c r="D22" s="1">
        <v>2.3999999999999998E-7</v>
      </c>
      <c r="E22">
        <v>3.3696000000000003E-4</v>
      </c>
      <c r="F22" s="1">
        <v>2.1900000000000002E-6</v>
      </c>
      <c r="G22">
        <v>1591.5</v>
      </c>
      <c r="H22">
        <v>15</v>
      </c>
      <c r="J22">
        <f t="shared" si="0"/>
        <v>10.000149245999999</v>
      </c>
      <c r="K22">
        <f t="shared" si="1"/>
        <v>3.0806000000000003E-4</v>
      </c>
      <c r="L22">
        <f t="shared" si="2"/>
        <v>3.0806497038982498E-6</v>
      </c>
      <c r="M22">
        <v>10</v>
      </c>
      <c r="N22">
        <f t="shared" si="3"/>
        <v>14.924599999854848</v>
      </c>
      <c r="O22">
        <f t="shared" si="4"/>
        <v>12.549939999782804</v>
      </c>
    </row>
    <row r="23" spans="1:15" x14ac:dyDescent="0.25">
      <c r="A23" s="9">
        <v>45278.006863425922</v>
      </c>
      <c r="B23" t="s">
        <v>48</v>
      </c>
      <c r="C23">
        <v>10.00025559</v>
      </c>
      <c r="D23" s="1">
        <v>1.8099999999999999E-7</v>
      </c>
      <c r="E23">
        <v>3.6860000000000001E-4</v>
      </c>
      <c r="F23" s="1">
        <v>2.6900000000000001E-6</v>
      </c>
      <c r="G23">
        <v>1591.5</v>
      </c>
      <c r="H23">
        <v>15</v>
      </c>
      <c r="J23">
        <f t="shared" si="0"/>
        <v>10.000255716</v>
      </c>
      <c r="K23">
        <f t="shared" si="1"/>
        <v>3.3970000000000002E-4</v>
      </c>
      <c r="L23">
        <f t="shared" si="2"/>
        <v>3.3970186413320009E-6</v>
      </c>
      <c r="M23">
        <v>10</v>
      </c>
      <c r="N23">
        <f t="shared" si="3"/>
        <v>25.571599999940631</v>
      </c>
      <c r="O23">
        <f t="shared" si="4"/>
        <v>23.196939999868587</v>
      </c>
    </row>
    <row r="24" spans="1:15" x14ac:dyDescent="0.25">
      <c r="A24" s="9">
        <v>45278.009409722225</v>
      </c>
      <c r="B24" t="s">
        <v>49</v>
      </c>
      <c r="C24">
        <v>10.00000605</v>
      </c>
      <c r="D24" s="1">
        <v>2.84E-7</v>
      </c>
      <c r="E24">
        <v>3.3762000000000001E-4</v>
      </c>
      <c r="F24" s="1">
        <v>1.84E-6</v>
      </c>
      <c r="G24">
        <v>1591.5</v>
      </c>
      <c r="H24">
        <v>15</v>
      </c>
      <c r="J24">
        <f t="shared" si="0"/>
        <v>10.000006175999999</v>
      </c>
      <c r="K24">
        <f t="shared" si="1"/>
        <v>3.0872000000000001E-4</v>
      </c>
      <c r="L24">
        <f t="shared" si="2"/>
        <v>3.0872939796416172E-6</v>
      </c>
      <c r="M24">
        <v>10</v>
      </c>
      <c r="N24">
        <f t="shared" si="3"/>
        <v>0.617600000030194</v>
      </c>
      <c r="O24">
        <f t="shared" si="4"/>
        <v>-1.757060000041851</v>
      </c>
    </row>
    <row r="25" spans="1:15" x14ac:dyDescent="0.25">
      <c r="A25" s="9">
        <v>45278.013391203705</v>
      </c>
      <c r="B25" t="s">
        <v>50</v>
      </c>
      <c r="C25">
        <v>10.000263869999999</v>
      </c>
      <c r="D25" s="1">
        <v>1.9000000000000001E-7</v>
      </c>
      <c r="E25">
        <v>3.6949999999999998E-4</v>
      </c>
      <c r="F25" s="1">
        <v>2.1100000000000001E-6</v>
      </c>
      <c r="G25">
        <v>1591.5</v>
      </c>
      <c r="H25">
        <v>15</v>
      </c>
      <c r="J25">
        <f t="shared" si="0"/>
        <v>10.000263995999999</v>
      </c>
      <c r="K25">
        <f t="shared" si="1"/>
        <v>3.4059999999999998E-4</v>
      </c>
      <c r="L25">
        <f t="shared" si="2"/>
        <v>3.4060158706112552E-6</v>
      </c>
      <c r="M25">
        <v>10</v>
      </c>
      <c r="N25">
        <f t="shared" si="3"/>
        <v>26.399599999837875</v>
      </c>
      <c r="O25">
        <f t="shared" si="4"/>
        <v>24.024939999765831</v>
      </c>
    </row>
    <row r="26" spans="1:15" x14ac:dyDescent="0.25">
      <c r="A26" s="9">
        <v>45278.016747685186</v>
      </c>
      <c r="B26" t="s">
        <v>51</v>
      </c>
      <c r="C26">
        <v>10.000364579999999</v>
      </c>
      <c r="D26" s="1">
        <v>1.8300000000000001E-7</v>
      </c>
      <c r="E26">
        <v>3.5748000000000003E-4</v>
      </c>
      <c r="F26" s="1">
        <v>1.7600000000000001E-6</v>
      </c>
      <c r="G26">
        <v>1591.5</v>
      </c>
      <c r="H26">
        <v>15</v>
      </c>
      <c r="J26">
        <f t="shared" si="0"/>
        <v>10.000364705999999</v>
      </c>
      <c r="K26">
        <f t="shared" si="1"/>
        <v>3.2858000000000003E-4</v>
      </c>
      <c r="L26">
        <f t="shared" si="2"/>
        <v>3.2857822202876819E-6</v>
      </c>
      <c r="M26">
        <v>10</v>
      </c>
      <c r="N26">
        <f t="shared" si="3"/>
        <v>36.470600000004794</v>
      </c>
      <c r="O26">
        <f t="shared" si="4"/>
        <v>34.095939999932746</v>
      </c>
    </row>
    <row r="27" spans="1:15" x14ac:dyDescent="0.25">
      <c r="A27" s="9">
        <v>45278.018310185187</v>
      </c>
      <c r="B27" t="s">
        <v>53</v>
      </c>
      <c r="C27">
        <v>10.000281530000001</v>
      </c>
      <c r="D27" s="1">
        <v>1.55E-7</v>
      </c>
      <c r="E27">
        <v>3.5649999999999999E-4</v>
      </c>
      <c r="F27" s="1">
        <v>2.5799999999999999E-6</v>
      </c>
      <c r="G27">
        <v>1591.5</v>
      </c>
      <c r="H27">
        <v>15</v>
      </c>
      <c r="J27">
        <f t="shared" si="0"/>
        <v>10.000281656</v>
      </c>
      <c r="K27">
        <f t="shared" si="1"/>
        <v>3.2759999999999999E-4</v>
      </c>
      <c r="L27">
        <f t="shared" si="2"/>
        <v>3.2760094795827216E-6</v>
      </c>
      <c r="M27">
        <v>10</v>
      </c>
      <c r="N27">
        <f t="shared" si="3"/>
        <v>28.165600000074065</v>
      </c>
      <c r="O27">
        <f t="shared" si="4"/>
        <v>25.790940000002021</v>
      </c>
    </row>
    <row r="28" spans="1:15" x14ac:dyDescent="0.25">
      <c r="A28" s="9">
        <v>45278.019062500003</v>
      </c>
      <c r="B28" t="s">
        <v>54</v>
      </c>
      <c r="C28">
        <v>10.00041257</v>
      </c>
      <c r="D28" s="1">
        <v>2.72E-7</v>
      </c>
      <c r="E28">
        <v>3.656E-4</v>
      </c>
      <c r="F28" s="1">
        <v>2.0600000000000002E-6</v>
      </c>
      <c r="G28">
        <v>1591.5</v>
      </c>
      <c r="H28">
        <v>15</v>
      </c>
      <c r="J28">
        <f t="shared" si="0"/>
        <v>10.000412696</v>
      </c>
      <c r="K28">
        <f t="shared" si="1"/>
        <v>3.367E-4</v>
      </c>
      <c r="L28">
        <f t="shared" si="2"/>
        <v>3.3669656234295859E-6</v>
      </c>
      <c r="M28">
        <v>10</v>
      </c>
      <c r="N28">
        <f t="shared" si="3"/>
        <v>41.26960000006008</v>
      </c>
      <c r="O28">
        <f t="shared" si="4"/>
        <v>38.894939999988033</v>
      </c>
    </row>
    <row r="29" spans="1:15" x14ac:dyDescent="0.25">
      <c r="A29" s="9">
        <v>45278.021747685183</v>
      </c>
      <c r="B29" t="s">
        <v>55</v>
      </c>
      <c r="C29">
        <v>10.000440920000001</v>
      </c>
      <c r="D29" s="1">
        <v>1.9399999999999999E-7</v>
      </c>
      <c r="E29">
        <v>3.5589999999999998E-4</v>
      </c>
      <c r="F29" s="1">
        <v>1.9199999999999998E-6</v>
      </c>
      <c r="G29">
        <v>1591.5</v>
      </c>
      <c r="H29">
        <v>15</v>
      </c>
      <c r="J29">
        <f t="shared" si="0"/>
        <v>10.000441046000001</v>
      </c>
      <c r="K29">
        <f t="shared" si="1"/>
        <v>3.2699999999999998E-4</v>
      </c>
      <c r="L29">
        <f t="shared" si="2"/>
        <v>3.2699573438386905E-6</v>
      </c>
      <c r="M29">
        <v>10</v>
      </c>
      <c r="N29">
        <f t="shared" si="3"/>
        <v>44.104600000149929</v>
      </c>
      <c r="O29">
        <f t="shared" si="4"/>
        <v>41.729940000077882</v>
      </c>
    </row>
    <row r="30" spans="1:15" x14ac:dyDescent="0.25">
      <c r="A30" s="9">
        <v>45278.022905092592</v>
      </c>
      <c r="B30" t="s">
        <v>56</v>
      </c>
      <c r="C30">
        <v>10.000257789999999</v>
      </c>
      <c r="D30" s="1">
        <v>2.7000000000000001E-7</v>
      </c>
      <c r="E30">
        <v>3.5178E-4</v>
      </c>
      <c r="F30" s="1">
        <v>2.3499999999999999E-6</v>
      </c>
      <c r="G30">
        <v>1591.5</v>
      </c>
      <c r="H30">
        <v>15</v>
      </c>
      <c r="I30" t="s">
        <v>184</v>
      </c>
      <c r="J30">
        <f t="shared" si="0"/>
        <v>10.000257915999999</v>
      </c>
      <c r="K30">
        <f t="shared" si="1"/>
        <v>3.2288E-4</v>
      </c>
      <c r="L30">
        <f t="shared" si="2"/>
        <v>3.2288170079983417E-6</v>
      </c>
      <c r="M30">
        <v>10</v>
      </c>
      <c r="N30">
        <f t="shared" si="3"/>
        <v>25.791599999935855</v>
      </c>
      <c r="O30">
        <f t="shared" si="4"/>
        <v>23.416939999863811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34B1-8BA4-4168-BCDB-533BF3C6B06C}">
  <dimension ref="A1:P30"/>
  <sheetViews>
    <sheetView workbookViewId="0">
      <selection activeCell="I3" sqref="I3"/>
    </sheetView>
  </sheetViews>
  <sheetFormatPr defaultRowHeight="15" x14ac:dyDescent="0.25"/>
  <cols>
    <col min="1" max="1" width="14.85546875" bestFit="1" customWidth="1"/>
  </cols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-2.3366800000381902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9">
        <v>45498.001643518517</v>
      </c>
      <c r="B3" t="s">
        <v>17</v>
      </c>
      <c r="C3" s="1">
        <v>-1.18E-7</v>
      </c>
      <c r="D3" s="1">
        <v>2.6400000000000001E-8</v>
      </c>
      <c r="E3" s="1">
        <v>2.9200000000000002E-5</v>
      </c>
      <c r="F3" s="1">
        <v>6.4499999999999997E-7</v>
      </c>
      <c r="G3">
        <v>1591.5</v>
      </c>
      <c r="H3">
        <v>15</v>
      </c>
      <c r="I3" t="s">
        <v>197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9">
        <v>45498.002060185187</v>
      </c>
      <c r="B4" t="s">
        <v>21</v>
      </c>
      <c r="C4">
        <v>9.9999767120000005</v>
      </c>
      <c r="D4" s="1">
        <v>1.14E-7</v>
      </c>
      <c r="E4">
        <v>-1.7197999999999999E-4</v>
      </c>
      <c r="F4" s="1">
        <v>1.9999999999999999E-6</v>
      </c>
      <c r="G4">
        <v>1591.5</v>
      </c>
      <c r="H4">
        <v>15</v>
      </c>
      <c r="I4" t="s">
        <v>198</v>
      </c>
      <c r="J4">
        <f t="shared" ref="J4:J30" si="0">C4-C$3</f>
        <v>9.9999768300000014</v>
      </c>
      <c r="K4">
        <f>E4-E$3</f>
        <v>-2.0117999999999999E-4</v>
      </c>
      <c r="L4">
        <f>K4*0.000000001/(2*PI()*J4*G4*0.000000000001)</f>
        <v>-2.0118671466502788E-6</v>
      </c>
      <c r="M4">
        <v>10</v>
      </c>
      <c r="N4">
        <f>(J4/M4-1)*1000000</f>
        <v>-2.3169999998629009</v>
      </c>
      <c r="O4">
        <f>N4+P$1</f>
        <v>-4.6536799999010912</v>
      </c>
    </row>
    <row r="5" spans="1:16" x14ac:dyDescent="0.25">
      <c r="A5" s="9">
        <v>45498.003113425926</v>
      </c>
      <c r="B5" t="s">
        <v>23</v>
      </c>
      <c r="C5">
        <v>9.9999791069999997</v>
      </c>
      <c r="D5" s="1">
        <v>6.3699999999999995E-8</v>
      </c>
      <c r="E5">
        <v>-1.1514999999999999E-4</v>
      </c>
      <c r="F5" s="1">
        <v>8.5799999999999998E-7</v>
      </c>
      <c r="G5">
        <v>1591.5</v>
      </c>
      <c r="H5">
        <v>15</v>
      </c>
      <c r="J5">
        <f t="shared" si="0"/>
        <v>9.9999792250000006</v>
      </c>
      <c r="K5">
        <f t="shared" ref="K5:K30" si="1">E5-E$3</f>
        <v>-1.4434999999999999E-4</v>
      </c>
      <c r="L5">
        <f t="shared" ref="L5:L30" si="2">K5*0.000000001/(2*PI()*J5*G5*0.000000000001)</f>
        <v>-1.4435478331091775E-6</v>
      </c>
      <c r="M5">
        <v>10</v>
      </c>
      <c r="N5">
        <f t="shared" ref="N5:N30" si="3">(J5/M5-1)*1000000</f>
        <v>-2.0774999999195742</v>
      </c>
      <c r="O5">
        <f t="shared" ref="O5:O30" si="4">N5+P$1</f>
        <v>-4.4141799999577644</v>
      </c>
    </row>
    <row r="6" spans="1:16" x14ac:dyDescent="0.25">
      <c r="A6" s="9">
        <v>45498.003888888888</v>
      </c>
      <c r="B6" t="s">
        <v>24</v>
      </c>
      <c r="C6">
        <v>99.999813549999999</v>
      </c>
      <c r="D6" s="1">
        <v>9.2200000000000005E-8</v>
      </c>
      <c r="E6">
        <v>1.8929999999999999E-3</v>
      </c>
      <c r="F6" s="1">
        <v>1.1000000000000001E-6</v>
      </c>
      <c r="G6">
        <v>1591.5</v>
      </c>
      <c r="H6">
        <v>15</v>
      </c>
      <c r="J6">
        <f t="shared" si="0"/>
        <v>99.999813668000002</v>
      </c>
      <c r="K6">
        <f t="shared" si="1"/>
        <v>1.8637999999999999E-3</v>
      </c>
      <c r="L6">
        <f t="shared" si="2"/>
        <v>1.8638613613438528E-6</v>
      </c>
      <c r="M6">
        <v>100</v>
      </c>
      <c r="N6">
        <f t="shared" si="3"/>
        <v>-1.86331999996181</v>
      </c>
      <c r="O6">
        <f t="shared" si="4"/>
        <v>-4.2</v>
      </c>
    </row>
    <row r="7" spans="1:16" x14ac:dyDescent="0.25">
      <c r="A7" s="9">
        <v>45498.004837962966</v>
      </c>
      <c r="B7" t="s">
        <v>25</v>
      </c>
      <c r="C7">
        <v>99.999828919999999</v>
      </c>
      <c r="D7" s="1">
        <v>8.72E-8</v>
      </c>
      <c r="E7">
        <v>2.2542999999999999E-3</v>
      </c>
      <c r="F7" s="1">
        <v>1.35E-6</v>
      </c>
      <c r="G7">
        <v>1591.5</v>
      </c>
      <c r="H7">
        <v>15</v>
      </c>
      <c r="J7">
        <f t="shared" si="0"/>
        <v>99.999829038000001</v>
      </c>
      <c r="K7">
        <f t="shared" si="1"/>
        <v>2.2250999999999998E-3</v>
      </c>
      <c r="L7">
        <f t="shared" si="2"/>
        <v>2.2251729143086716E-6</v>
      </c>
      <c r="M7">
        <v>100</v>
      </c>
      <c r="N7">
        <f t="shared" si="3"/>
        <v>-1.7096200000121797</v>
      </c>
      <c r="O7">
        <f t="shared" si="4"/>
        <v>-4.0463000000503699</v>
      </c>
    </row>
    <row r="8" spans="1:16" x14ac:dyDescent="0.25">
      <c r="A8" s="9">
        <v>45498.005682870367</v>
      </c>
      <c r="B8" t="s">
        <v>26</v>
      </c>
      <c r="C8">
        <v>9.9999776730000001</v>
      </c>
      <c r="D8" s="1">
        <v>1.01E-7</v>
      </c>
      <c r="E8">
        <v>-2.6029999999999998E-4</v>
      </c>
      <c r="F8" s="1">
        <v>9.8599999999999996E-7</v>
      </c>
      <c r="G8">
        <v>1591.5</v>
      </c>
      <c r="H8">
        <v>15</v>
      </c>
      <c r="J8">
        <f t="shared" si="0"/>
        <v>9.9999777910000009</v>
      </c>
      <c r="K8">
        <f t="shared" si="1"/>
        <v>-2.8949999999999999E-4</v>
      </c>
      <c r="L8">
        <f t="shared" si="2"/>
        <v>-2.8950963464712012E-6</v>
      </c>
      <c r="M8">
        <v>10</v>
      </c>
      <c r="N8">
        <f t="shared" si="3"/>
        <v>-2.2208999999051571</v>
      </c>
      <c r="O8">
        <f t="shared" si="4"/>
        <v>-4.5575799999433473</v>
      </c>
    </row>
    <row r="9" spans="1:16" x14ac:dyDescent="0.25">
      <c r="A9" s="9">
        <v>45498.007210648146</v>
      </c>
      <c r="B9" t="s">
        <v>28</v>
      </c>
      <c r="C9">
        <v>9.9999753699999996</v>
      </c>
      <c r="D9" s="1">
        <v>6.36E-8</v>
      </c>
      <c r="E9">
        <v>-2.2085E-4</v>
      </c>
      <c r="F9" s="1">
        <v>6.1200000000000003E-7</v>
      </c>
      <c r="G9">
        <v>1591.5</v>
      </c>
      <c r="H9">
        <v>15</v>
      </c>
      <c r="J9">
        <f t="shared" si="0"/>
        <v>9.9999754880000005</v>
      </c>
      <c r="K9">
        <f t="shared" si="1"/>
        <v>-2.5004999999999998E-4</v>
      </c>
      <c r="L9">
        <f t="shared" si="2"/>
        <v>-2.500583793278209E-6</v>
      </c>
      <c r="M9">
        <v>10</v>
      </c>
      <c r="N9">
        <f t="shared" si="3"/>
        <v>-2.4511999999754508</v>
      </c>
      <c r="O9">
        <f t="shared" si="4"/>
        <v>-4.787880000013641</v>
      </c>
    </row>
    <row r="10" spans="1:16" x14ac:dyDescent="0.25">
      <c r="A10" s="9">
        <v>45498.008796296293</v>
      </c>
      <c r="B10" t="s">
        <v>29</v>
      </c>
      <c r="C10">
        <v>99.999799330000002</v>
      </c>
      <c r="D10" s="1">
        <v>1.2700000000000001E-7</v>
      </c>
      <c r="E10">
        <v>8.4420000000000003E-4</v>
      </c>
      <c r="F10" s="1">
        <v>1.33E-6</v>
      </c>
      <c r="G10">
        <v>1591.5</v>
      </c>
      <c r="H10">
        <v>15</v>
      </c>
      <c r="I10" t="s">
        <v>199</v>
      </c>
      <c r="J10">
        <f t="shared" si="0"/>
        <v>99.999799448000005</v>
      </c>
      <c r="K10">
        <f t="shared" si="1"/>
        <v>8.1500000000000008E-4</v>
      </c>
      <c r="L10">
        <f t="shared" si="2"/>
        <v>8.1502694790436665E-7</v>
      </c>
      <c r="M10">
        <v>100</v>
      </c>
      <c r="N10">
        <f t="shared" si="3"/>
        <v>-2.0055199999591267</v>
      </c>
      <c r="O10">
        <f t="shared" si="4"/>
        <v>-4.3421999999973169</v>
      </c>
    </row>
    <row r="11" spans="1:16" x14ac:dyDescent="0.25">
      <c r="A11" s="9">
        <v>45498.009780092594</v>
      </c>
      <c r="B11" t="s">
        <v>30</v>
      </c>
      <c r="C11">
        <v>99.999881920000007</v>
      </c>
      <c r="D11" s="1">
        <v>1.17E-7</v>
      </c>
      <c r="E11">
        <v>9.1949999999999996E-4</v>
      </c>
      <c r="F11" s="1">
        <v>1.02E-6</v>
      </c>
      <c r="G11">
        <v>1591.5</v>
      </c>
      <c r="H11">
        <v>15</v>
      </c>
      <c r="J11">
        <f t="shared" si="0"/>
        <v>99.99988203800001</v>
      </c>
      <c r="K11">
        <f t="shared" si="1"/>
        <v>8.9030000000000001E-4</v>
      </c>
      <c r="L11">
        <f t="shared" si="2"/>
        <v>8.9032870236839041E-7</v>
      </c>
      <c r="M11">
        <v>100</v>
      </c>
      <c r="N11">
        <f t="shared" si="3"/>
        <v>-1.1796199999025703</v>
      </c>
      <c r="O11">
        <f t="shared" si="4"/>
        <v>-3.5162999999407605</v>
      </c>
    </row>
    <row r="12" spans="1:16" x14ac:dyDescent="0.25">
      <c r="A12" s="9">
        <v>45498.011516203704</v>
      </c>
      <c r="B12" t="s">
        <v>31</v>
      </c>
      <c r="C12">
        <v>10.000184580000001</v>
      </c>
      <c r="D12" s="1">
        <v>1.72E-7</v>
      </c>
      <c r="E12">
        <v>8.7617999999999995E-4</v>
      </c>
      <c r="F12" s="1">
        <v>1.3599999999999999E-6</v>
      </c>
      <c r="G12">
        <v>1591.5</v>
      </c>
      <c r="H12">
        <v>15</v>
      </c>
      <c r="J12">
        <f t="shared" si="0"/>
        <v>10.000184698000002</v>
      </c>
      <c r="K12">
        <f t="shared" si="1"/>
        <v>8.4698E-4</v>
      </c>
      <c r="L12">
        <f t="shared" si="2"/>
        <v>8.4699066288065464E-6</v>
      </c>
      <c r="M12">
        <v>10</v>
      </c>
      <c r="N12">
        <f t="shared" si="3"/>
        <v>18.469800000087133</v>
      </c>
      <c r="O12">
        <f t="shared" si="4"/>
        <v>16.133120000048944</v>
      </c>
    </row>
    <row r="13" spans="1:16" x14ac:dyDescent="0.25">
      <c r="A13" s="9">
        <v>45498.013113425928</v>
      </c>
      <c r="B13" t="s">
        <v>33</v>
      </c>
      <c r="C13">
        <v>100.00411200000001</v>
      </c>
      <c r="D13" s="1">
        <v>1.42E-14</v>
      </c>
      <c r="E13">
        <v>8.4767999999999996E-3</v>
      </c>
      <c r="F13" s="1">
        <v>1.04E-6</v>
      </c>
      <c r="G13">
        <v>1591.5</v>
      </c>
      <c r="H13">
        <v>15</v>
      </c>
      <c r="I13" t="s">
        <v>200</v>
      </c>
      <c r="J13">
        <f t="shared" si="0"/>
        <v>100.00411211800001</v>
      </c>
      <c r="K13">
        <f t="shared" si="1"/>
        <v>8.4475999999999996E-3</v>
      </c>
      <c r="L13">
        <f t="shared" si="2"/>
        <v>8.4475150049858657E-6</v>
      </c>
      <c r="M13">
        <v>100</v>
      </c>
      <c r="N13">
        <f t="shared" si="3"/>
        <v>41.121179999992208</v>
      </c>
      <c r="O13">
        <f t="shared" si="4"/>
        <v>38.784499999954015</v>
      </c>
    </row>
    <row r="14" spans="1:16" x14ac:dyDescent="0.25">
      <c r="A14" s="9">
        <v>45498.01462962963</v>
      </c>
      <c r="B14" t="s">
        <v>34</v>
      </c>
      <c r="C14">
        <v>1000.0324910000001</v>
      </c>
      <c r="D14" s="1">
        <v>3.0000000000000001E-6</v>
      </c>
      <c r="E14">
        <v>0.19251299999999999</v>
      </c>
      <c r="F14" s="1">
        <v>9.8599999999999998E-5</v>
      </c>
      <c r="G14">
        <v>1591.5</v>
      </c>
      <c r="H14">
        <v>1.5</v>
      </c>
      <c r="J14">
        <f t="shared" si="0"/>
        <v>1000.0324911180001</v>
      </c>
      <c r="K14">
        <f t="shared" si="1"/>
        <v>0.19248379999999998</v>
      </c>
      <c r="L14">
        <f t="shared" si="2"/>
        <v>1.924835244123856E-5</v>
      </c>
      <c r="M14">
        <v>1000</v>
      </c>
      <c r="N14">
        <f t="shared" si="3"/>
        <v>32.491118000077535</v>
      </c>
      <c r="O14">
        <f t="shared" si="4"/>
        <v>30.154438000039345</v>
      </c>
    </row>
    <row r="15" spans="1:16" x14ac:dyDescent="0.25">
      <c r="A15" s="9">
        <v>45498.016435185185</v>
      </c>
      <c r="B15" t="s">
        <v>35</v>
      </c>
      <c r="C15">
        <v>999.99989689999995</v>
      </c>
      <c r="D15">
        <v>1.0283199999999999E-4</v>
      </c>
      <c r="E15">
        <v>0.20823</v>
      </c>
      <c r="F15">
        <v>2.4103899999999999E-4</v>
      </c>
      <c r="G15">
        <v>1591.5</v>
      </c>
      <c r="H15">
        <v>1.5</v>
      </c>
      <c r="J15">
        <f t="shared" si="0"/>
        <v>999.99989701799996</v>
      </c>
      <c r="K15">
        <f t="shared" si="1"/>
        <v>0.20820079999999999</v>
      </c>
      <c r="L15">
        <f t="shared" si="2"/>
        <v>2.0820728801833611E-5</v>
      </c>
      <c r="M15">
        <v>1000</v>
      </c>
      <c r="N15">
        <f t="shared" si="3"/>
        <v>-0.10298200003866498</v>
      </c>
      <c r="O15">
        <f t="shared" si="4"/>
        <v>-2.4396620000768552</v>
      </c>
    </row>
    <row r="16" spans="1:16" x14ac:dyDescent="0.25">
      <c r="A16" s="9">
        <v>45498.018946759257</v>
      </c>
      <c r="B16" t="s">
        <v>36</v>
      </c>
      <c r="C16">
        <v>4.9999513450000004</v>
      </c>
      <c r="D16" s="1">
        <v>4.9800000000000003E-8</v>
      </c>
      <c r="E16">
        <v>2.4820000000000002E-4</v>
      </c>
      <c r="F16" s="1">
        <v>3.9999999999999998E-7</v>
      </c>
      <c r="G16">
        <v>1591.5</v>
      </c>
      <c r="H16">
        <v>15</v>
      </c>
      <c r="I16" t="s">
        <v>201</v>
      </c>
      <c r="J16">
        <f t="shared" si="0"/>
        <v>4.9999514630000004</v>
      </c>
      <c r="K16">
        <f t="shared" si="1"/>
        <v>2.1900000000000001E-4</v>
      </c>
      <c r="L16">
        <f t="shared" si="2"/>
        <v>4.3801785599977039E-6</v>
      </c>
      <c r="M16">
        <v>5</v>
      </c>
      <c r="N16">
        <f t="shared" si="3"/>
        <v>-9.7073999999475191</v>
      </c>
      <c r="O16">
        <f t="shared" si="4"/>
        <v>-12.044079999985708</v>
      </c>
    </row>
    <row r="17" spans="1:15" x14ac:dyDescent="0.25">
      <c r="A17" s="9">
        <v>45498.020162037035</v>
      </c>
      <c r="B17" t="s">
        <v>38</v>
      </c>
      <c r="C17">
        <v>5.0001081789999997</v>
      </c>
      <c r="D17" s="1">
        <v>9.2900000000000005E-8</v>
      </c>
      <c r="E17">
        <v>2.3248999999999999E-4</v>
      </c>
      <c r="F17" s="1">
        <v>7.6199999999999997E-7</v>
      </c>
      <c r="G17">
        <v>1591.5</v>
      </c>
      <c r="H17">
        <v>15</v>
      </c>
      <c r="I17" t="s">
        <v>202</v>
      </c>
      <c r="J17">
        <f t="shared" si="0"/>
        <v>5.0001082969999997</v>
      </c>
      <c r="K17">
        <f t="shared" si="1"/>
        <v>2.0328999999999999E-4</v>
      </c>
      <c r="L17">
        <f t="shared" si="2"/>
        <v>4.0658382173955154E-6</v>
      </c>
      <c r="M17">
        <v>5</v>
      </c>
      <c r="N17">
        <f t="shared" si="3"/>
        <v>21.659399999984785</v>
      </c>
      <c r="O17">
        <f t="shared" si="4"/>
        <v>19.322719999946596</v>
      </c>
    </row>
    <row r="18" spans="1:15" x14ac:dyDescent="0.25">
      <c r="A18" s="9">
        <v>45498.022511574076</v>
      </c>
      <c r="B18" t="s">
        <v>40</v>
      </c>
      <c r="C18">
        <v>0.50005182100000001</v>
      </c>
      <c r="D18" s="1">
        <v>9.5799999999999998E-8</v>
      </c>
      <c r="E18" s="1">
        <v>7.7200000000000006E-5</v>
      </c>
      <c r="F18" s="1">
        <v>8.6400000000000001E-7</v>
      </c>
      <c r="G18">
        <v>1591.5</v>
      </c>
      <c r="H18">
        <v>15</v>
      </c>
      <c r="J18">
        <f t="shared" si="0"/>
        <v>0.500051939</v>
      </c>
      <c r="K18">
        <f t="shared" si="1"/>
        <v>4.8000000000000001E-5</v>
      </c>
      <c r="L18">
        <f t="shared" si="2"/>
        <v>9.5993010133487352E-6</v>
      </c>
      <c r="M18">
        <v>0.5</v>
      </c>
      <c r="N18">
        <f t="shared" si="3"/>
        <v>103.87800000000169</v>
      </c>
      <c r="O18">
        <f t="shared" si="4"/>
        <v>101.54131999996351</v>
      </c>
    </row>
    <row r="19" spans="1:15" x14ac:dyDescent="0.25">
      <c r="A19" s="9">
        <v>45498.024270833332</v>
      </c>
      <c r="B19" t="s">
        <v>42</v>
      </c>
      <c r="C19">
        <v>1000.1439370000001</v>
      </c>
      <c r="D19" s="1">
        <v>7.8099999999999998E-6</v>
      </c>
      <c r="E19">
        <v>0.104895</v>
      </c>
      <c r="F19" s="1">
        <v>8.92E-5</v>
      </c>
      <c r="G19">
        <v>1591.5</v>
      </c>
      <c r="H19">
        <v>1.5</v>
      </c>
      <c r="J19">
        <f t="shared" si="0"/>
        <v>1000.1439371180001</v>
      </c>
      <c r="K19">
        <f t="shared" si="1"/>
        <v>0.10486580000000001</v>
      </c>
      <c r="L19">
        <f t="shared" si="2"/>
        <v>1.0485396468368805E-5</v>
      </c>
      <c r="M19">
        <v>1000</v>
      </c>
      <c r="N19">
        <f t="shared" si="3"/>
        <v>143.93711800009257</v>
      </c>
      <c r="O19">
        <f t="shared" si="4"/>
        <v>141.60043800005437</v>
      </c>
    </row>
    <row r="20" spans="1:15" x14ac:dyDescent="0.25">
      <c r="A20" s="9">
        <v>45498.026446759257</v>
      </c>
      <c r="B20" t="s">
        <v>44</v>
      </c>
      <c r="C20">
        <v>10.000405600000001</v>
      </c>
      <c r="D20" s="1">
        <v>2.7599999999999998E-7</v>
      </c>
      <c r="E20">
        <v>4.7130000000000002E-4</v>
      </c>
      <c r="F20" s="1">
        <v>1.88E-6</v>
      </c>
      <c r="G20">
        <v>1591.5</v>
      </c>
      <c r="H20">
        <v>15</v>
      </c>
      <c r="J20">
        <f t="shared" si="0"/>
        <v>10.000405718000001</v>
      </c>
      <c r="K20">
        <f t="shared" si="1"/>
        <v>4.4210000000000001E-4</v>
      </c>
      <c r="L20">
        <f t="shared" si="2"/>
        <v>4.4209579470631215E-6</v>
      </c>
      <c r="M20">
        <v>10</v>
      </c>
      <c r="N20">
        <f t="shared" si="3"/>
        <v>40.571800000055447</v>
      </c>
      <c r="O20">
        <f t="shared" si="4"/>
        <v>38.235120000017254</v>
      </c>
    </row>
    <row r="21" spans="1:15" x14ac:dyDescent="0.25">
      <c r="A21" s="9">
        <v>45498.027569444443</v>
      </c>
      <c r="B21" t="s">
        <v>46</v>
      </c>
      <c r="C21">
        <v>10.00015788</v>
      </c>
      <c r="D21" s="1">
        <v>2.0900000000000001E-7</v>
      </c>
      <c r="E21">
        <v>4.7381000000000002E-4</v>
      </c>
      <c r="F21" s="1">
        <v>1.88E-6</v>
      </c>
      <c r="G21">
        <v>1591.5</v>
      </c>
      <c r="H21">
        <v>15</v>
      </c>
      <c r="J21">
        <f t="shared" si="0"/>
        <v>10.000157998000001</v>
      </c>
      <c r="K21">
        <f t="shared" si="1"/>
        <v>4.4461000000000001E-4</v>
      </c>
      <c r="L21">
        <f t="shared" si="2"/>
        <v>4.4461678443111606E-6</v>
      </c>
      <c r="M21">
        <v>10</v>
      </c>
      <c r="N21">
        <f t="shared" si="3"/>
        <v>15.799800000104725</v>
      </c>
      <c r="O21">
        <f t="shared" si="4"/>
        <v>13.463120000066535</v>
      </c>
    </row>
    <row r="22" spans="1:15" x14ac:dyDescent="0.25">
      <c r="A22" s="9">
        <v>45498.028379629628</v>
      </c>
      <c r="B22" t="s">
        <v>47</v>
      </c>
      <c r="C22">
        <v>10.00012692</v>
      </c>
      <c r="D22" s="1">
        <v>2.5600000000000002E-7</v>
      </c>
      <c r="E22">
        <v>4.617E-4</v>
      </c>
      <c r="F22" s="1">
        <v>3.1700000000000001E-6</v>
      </c>
      <c r="G22">
        <v>1591.5</v>
      </c>
      <c r="H22">
        <v>15</v>
      </c>
      <c r="J22">
        <f t="shared" si="0"/>
        <v>10.000127038</v>
      </c>
      <c r="K22">
        <f t="shared" si="1"/>
        <v>4.325E-4</v>
      </c>
      <c r="L22">
        <f t="shared" si="2"/>
        <v>4.3250793866458532E-6</v>
      </c>
      <c r="M22">
        <v>10</v>
      </c>
      <c r="N22">
        <f t="shared" si="3"/>
        <v>12.703799999957965</v>
      </c>
      <c r="O22">
        <f t="shared" si="4"/>
        <v>10.367119999919776</v>
      </c>
    </row>
    <row r="23" spans="1:15" x14ac:dyDescent="0.25">
      <c r="A23" s="9">
        <v>45498.030092592591</v>
      </c>
      <c r="B23" t="s">
        <v>48</v>
      </c>
      <c r="C23">
        <v>10.000234069999999</v>
      </c>
      <c r="D23" s="1">
        <v>1.49E-7</v>
      </c>
      <c r="E23">
        <v>4.9733000000000004E-4</v>
      </c>
      <c r="F23" s="1">
        <v>1.3400000000000001E-6</v>
      </c>
      <c r="G23">
        <v>1591.5</v>
      </c>
      <c r="H23">
        <v>15</v>
      </c>
      <c r="J23">
        <f t="shared" si="0"/>
        <v>10.000234188</v>
      </c>
      <c r="K23">
        <f t="shared" si="1"/>
        <v>4.6813000000000003E-4</v>
      </c>
      <c r="L23">
        <f t="shared" si="2"/>
        <v>4.6813357667615283E-6</v>
      </c>
      <c r="M23">
        <v>10</v>
      </c>
      <c r="N23">
        <f t="shared" si="3"/>
        <v>23.418800000118978</v>
      </c>
      <c r="O23">
        <f t="shared" si="4"/>
        <v>21.082120000080788</v>
      </c>
    </row>
    <row r="24" spans="1:15" x14ac:dyDescent="0.25">
      <c r="A24" s="9">
        <v>45498.030798611115</v>
      </c>
      <c r="B24" t="s">
        <v>49</v>
      </c>
      <c r="C24">
        <v>9.9999827069999991</v>
      </c>
      <c r="D24" s="1">
        <v>1.1899999999999999E-7</v>
      </c>
      <c r="E24">
        <v>4.6399000000000001E-4</v>
      </c>
      <c r="F24" s="1">
        <v>2.2299999999999998E-6</v>
      </c>
      <c r="G24">
        <v>1591.5</v>
      </c>
      <c r="H24">
        <v>15</v>
      </c>
      <c r="J24">
        <f t="shared" si="0"/>
        <v>9.999982825</v>
      </c>
      <c r="K24">
        <f t="shared" si="1"/>
        <v>4.3479E-4</v>
      </c>
      <c r="L24">
        <f t="shared" si="2"/>
        <v>4.3480425106109657E-6</v>
      </c>
      <c r="M24">
        <v>10</v>
      </c>
      <c r="N24">
        <f t="shared" si="3"/>
        <v>-1.71749999999804</v>
      </c>
      <c r="O24">
        <f t="shared" si="4"/>
        <v>-4.0541800000362302</v>
      </c>
    </row>
    <row r="25" spans="1:15" x14ac:dyDescent="0.25">
      <c r="A25" s="9">
        <v>45498.032314814816</v>
      </c>
      <c r="B25" t="s">
        <v>50</v>
      </c>
      <c r="C25">
        <v>10.000241689999999</v>
      </c>
      <c r="D25" s="1">
        <v>1.8099999999999999E-7</v>
      </c>
      <c r="E25">
        <v>4.9872000000000002E-4</v>
      </c>
      <c r="F25" s="1">
        <v>1.7400000000000001E-6</v>
      </c>
      <c r="G25">
        <v>1591.5</v>
      </c>
      <c r="H25">
        <v>15</v>
      </c>
      <c r="J25">
        <f t="shared" si="0"/>
        <v>10.000241808</v>
      </c>
      <c r="K25">
        <f t="shared" si="1"/>
        <v>4.6952000000000002E-4</v>
      </c>
      <c r="L25">
        <f t="shared" si="2"/>
        <v>4.6952322952791417E-6</v>
      </c>
      <c r="M25">
        <v>10</v>
      </c>
      <c r="N25">
        <f t="shared" si="3"/>
        <v>24.180800000106473</v>
      </c>
      <c r="O25">
        <f t="shared" si="4"/>
        <v>21.844120000068283</v>
      </c>
    </row>
    <row r="26" spans="1:15" x14ac:dyDescent="0.25">
      <c r="A26" s="9">
        <v>45498.033321759256</v>
      </c>
      <c r="B26" t="s">
        <v>51</v>
      </c>
      <c r="C26">
        <v>10.000344520000001</v>
      </c>
      <c r="D26" s="1">
        <v>2.6399999999999998E-7</v>
      </c>
      <c r="E26">
        <v>4.8504E-4</v>
      </c>
      <c r="F26" s="1">
        <v>1.2899999999999999E-6</v>
      </c>
      <c r="G26">
        <v>1591.5</v>
      </c>
      <c r="H26">
        <v>15</v>
      </c>
      <c r="J26">
        <f t="shared" si="0"/>
        <v>10.000344638000001</v>
      </c>
      <c r="K26">
        <f t="shared" si="1"/>
        <v>4.5584E-4</v>
      </c>
      <c r="L26">
        <f t="shared" si="2"/>
        <v>4.5583844815851941E-6</v>
      </c>
      <c r="M26">
        <v>10</v>
      </c>
      <c r="N26">
        <f t="shared" si="3"/>
        <v>34.463800000050782</v>
      </c>
      <c r="O26">
        <f t="shared" si="4"/>
        <v>32.127120000012589</v>
      </c>
    </row>
    <row r="27" spans="1:15" x14ac:dyDescent="0.25">
      <c r="A27" s="9">
        <v>45498.03460648148</v>
      </c>
      <c r="B27" t="s">
        <v>53</v>
      </c>
      <c r="C27">
        <v>10.00026048</v>
      </c>
      <c r="D27" s="1">
        <v>1.17E-7</v>
      </c>
      <c r="E27">
        <v>4.8759999999999998E-4</v>
      </c>
      <c r="F27" s="1">
        <v>2.0600000000000002E-6</v>
      </c>
      <c r="G27">
        <v>1591.5</v>
      </c>
      <c r="H27">
        <v>15</v>
      </c>
      <c r="J27">
        <f t="shared" si="0"/>
        <v>10.000260598000001</v>
      </c>
      <c r="K27">
        <f t="shared" si="1"/>
        <v>4.5839999999999998E-4</v>
      </c>
      <c r="L27">
        <f t="shared" si="2"/>
        <v>4.5840229172346456E-6</v>
      </c>
      <c r="M27">
        <v>10</v>
      </c>
      <c r="N27">
        <f t="shared" si="3"/>
        <v>26.059800000144406</v>
      </c>
      <c r="O27">
        <f t="shared" si="4"/>
        <v>23.723120000106217</v>
      </c>
    </row>
    <row r="28" spans="1:15" x14ac:dyDescent="0.25">
      <c r="A28" s="9">
        <v>45498.035486111112</v>
      </c>
      <c r="B28" t="s">
        <v>54</v>
      </c>
      <c r="C28">
        <v>10.00039271</v>
      </c>
      <c r="D28" s="1">
        <v>2.2100000000000001E-7</v>
      </c>
      <c r="E28">
        <v>4.9589999999999996E-4</v>
      </c>
      <c r="F28" s="1">
        <v>1.5400000000000001E-6</v>
      </c>
      <c r="G28">
        <v>1591.5</v>
      </c>
      <c r="H28">
        <v>15</v>
      </c>
      <c r="J28">
        <f t="shared" si="0"/>
        <v>10.000392828000001</v>
      </c>
      <c r="K28">
        <f t="shared" si="1"/>
        <v>4.6669999999999996E-4</v>
      </c>
      <c r="L28">
        <f t="shared" si="2"/>
        <v>4.6669616225591784E-6</v>
      </c>
      <c r="M28">
        <v>10</v>
      </c>
      <c r="N28">
        <f t="shared" si="3"/>
        <v>39.282799999984519</v>
      </c>
      <c r="O28">
        <f t="shared" si="4"/>
        <v>36.946119999946326</v>
      </c>
    </row>
    <row r="29" spans="1:15" x14ac:dyDescent="0.25">
      <c r="A29" s="9">
        <v>45498.036631944444</v>
      </c>
      <c r="B29" t="s">
        <v>55</v>
      </c>
      <c r="C29">
        <v>10.0004188</v>
      </c>
      <c r="D29" s="1">
        <v>1.73E-7</v>
      </c>
      <c r="E29">
        <v>4.8194999999999998E-4</v>
      </c>
      <c r="F29" s="1">
        <v>1.57E-6</v>
      </c>
      <c r="G29">
        <v>1591.5</v>
      </c>
      <c r="H29">
        <v>15</v>
      </c>
      <c r="J29">
        <f t="shared" si="0"/>
        <v>10.000418918000001</v>
      </c>
      <c r="K29">
        <f t="shared" si="1"/>
        <v>4.5274999999999997E-4</v>
      </c>
      <c r="L29">
        <f t="shared" si="2"/>
        <v>4.5274509580330424E-6</v>
      </c>
      <c r="M29">
        <v>10</v>
      </c>
      <c r="N29">
        <f t="shared" si="3"/>
        <v>41.891800000026791</v>
      </c>
      <c r="O29">
        <f t="shared" si="4"/>
        <v>39.555119999988598</v>
      </c>
    </row>
    <row r="30" spans="1:15" x14ac:dyDescent="0.25">
      <c r="A30" s="9">
        <v>45498.037499999999</v>
      </c>
      <c r="B30" t="s">
        <v>56</v>
      </c>
      <c r="C30">
        <v>10.000234669999999</v>
      </c>
      <c r="D30" s="1">
        <v>1.35E-7</v>
      </c>
      <c r="E30">
        <v>4.7800000000000002E-4</v>
      </c>
      <c r="F30" s="1">
        <v>2.03E-6</v>
      </c>
      <c r="G30">
        <v>1591.5</v>
      </c>
      <c r="H30">
        <v>15</v>
      </c>
      <c r="I30" t="s">
        <v>203</v>
      </c>
      <c r="J30">
        <f t="shared" si="0"/>
        <v>10.000234788</v>
      </c>
      <c r="K30">
        <f t="shared" si="1"/>
        <v>4.4880000000000001E-4</v>
      </c>
      <c r="L30">
        <f t="shared" si="2"/>
        <v>4.4880340206065055E-6</v>
      </c>
      <c r="M30">
        <v>10</v>
      </c>
      <c r="N30">
        <f t="shared" si="3"/>
        <v>23.478799999976374</v>
      </c>
      <c r="O30">
        <f t="shared" si="4"/>
        <v>21.142119999938185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F85B-959F-4593-AC2F-7184A9E9A9F6}">
  <dimension ref="A1:P30"/>
  <sheetViews>
    <sheetView workbookViewId="0">
      <selection activeCell="A5" sqref="A5"/>
    </sheetView>
  </sheetViews>
  <sheetFormatPr defaultRowHeight="15" x14ac:dyDescent="0.25"/>
  <sheetData>
    <row r="1" spans="1:16" x14ac:dyDescent="0.25">
      <c r="A1" t="s">
        <v>0</v>
      </c>
      <c r="J1" t="s">
        <v>1</v>
      </c>
      <c r="K1" t="s">
        <v>2</v>
      </c>
      <c r="M1" t="s">
        <v>3</v>
      </c>
      <c r="N1">
        <v>-4.2</v>
      </c>
      <c r="O1" t="s">
        <v>4</v>
      </c>
      <c r="P1">
        <f>N1 - N6</f>
        <v>-2.339719999956654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9</v>
      </c>
      <c r="L2" t="s">
        <v>13</v>
      </c>
      <c r="M2" t="s">
        <v>14</v>
      </c>
      <c r="N2" t="s">
        <v>15</v>
      </c>
      <c r="O2" t="s">
        <v>16</v>
      </c>
    </row>
    <row r="3" spans="1:16" x14ac:dyDescent="0.25">
      <c r="A3" s="9">
        <v>45637.604247233794</v>
      </c>
      <c r="B3" t="s">
        <v>17</v>
      </c>
      <c r="C3" s="1">
        <v>-1.2200000000000001E-7</v>
      </c>
      <c r="D3" s="1">
        <v>4.5343136195018498E-8</v>
      </c>
      <c r="E3" s="1">
        <v>2.6800000000000001E-5</v>
      </c>
      <c r="F3" s="1">
        <v>1.4028542333400101E-6</v>
      </c>
      <c r="G3">
        <v>1591.5</v>
      </c>
      <c r="H3">
        <v>15</v>
      </c>
      <c r="I3" t="s">
        <v>234</v>
      </c>
      <c r="J3">
        <f>C3-C$3</f>
        <v>0</v>
      </c>
      <c r="K3">
        <f>D3-D$3</f>
        <v>0</v>
      </c>
      <c r="L3" t="s">
        <v>19</v>
      </c>
      <c r="N3" t="s">
        <v>20</v>
      </c>
    </row>
    <row r="4" spans="1:16" x14ac:dyDescent="0.25">
      <c r="A4" s="9">
        <v>45637.606466886573</v>
      </c>
      <c r="B4" t="s">
        <v>21</v>
      </c>
      <c r="C4">
        <v>9.9999765790000001</v>
      </c>
      <c r="D4" s="1">
        <v>1.11754194387178E-7</v>
      </c>
      <c r="E4">
        <v>-1.6369999999999899E-4</v>
      </c>
      <c r="F4" s="1">
        <v>9.0553851381374296E-7</v>
      </c>
      <c r="G4">
        <v>1591.5</v>
      </c>
      <c r="H4">
        <v>15</v>
      </c>
      <c r="I4" t="s">
        <v>235</v>
      </c>
      <c r="J4">
        <f t="shared" ref="J4:J30" si="0">C4-C$3</f>
        <v>9.9999767009999996</v>
      </c>
      <c r="K4">
        <f>E4-E$3</f>
        <v>-1.9049999999999899E-4</v>
      </c>
      <c r="L4">
        <f>K4*0.000000001/(2*PI()*J4*G4*0.000000000001)</f>
        <v>-1.9050636066256616E-6</v>
      </c>
      <c r="M4">
        <v>10</v>
      </c>
      <c r="N4">
        <f>(J4/M4-1)*1000000</f>
        <v>-2.3299000000420733</v>
      </c>
      <c r="O4">
        <f>N4+P$1</f>
        <v>-4.6696199999987273</v>
      </c>
    </row>
    <row r="5" spans="1:16" x14ac:dyDescent="0.25">
      <c r="A5" s="9">
        <v>45637.608341388892</v>
      </c>
      <c r="B5" t="s">
        <v>23</v>
      </c>
      <c r="C5">
        <v>9.99997920499999</v>
      </c>
      <c r="D5" s="1">
        <v>7.6190550720851104E-8</v>
      </c>
      <c r="E5">
        <v>-1.3239999999999999E-4</v>
      </c>
      <c r="F5" s="1">
        <v>1.22147451876819E-6</v>
      </c>
      <c r="G5">
        <v>1591.5</v>
      </c>
      <c r="H5">
        <v>15</v>
      </c>
      <c r="J5">
        <f t="shared" si="0"/>
        <v>9.9999793269999895</v>
      </c>
      <c r="K5">
        <f t="shared" ref="K5:K30" si="1">E5-E$3</f>
        <v>-1.5919999999999999E-4</v>
      </c>
      <c r="L5">
        <f t="shared" ref="L5:L30" si="2">K5*0.000000001/(2*PI()*J5*G5*0.000000000001)</f>
        <v>-1.5920527376992432E-6</v>
      </c>
      <c r="M5">
        <v>10</v>
      </c>
      <c r="N5">
        <f t="shared" ref="N5:N30" si="3">(J5/M5-1)*1000000</f>
        <v>-2.0673000010740239</v>
      </c>
      <c r="O5">
        <f t="shared" ref="O5:O30" si="4">N5+P$1</f>
        <v>-4.4070200010306779</v>
      </c>
    </row>
    <row r="6" spans="1:16" x14ac:dyDescent="0.25">
      <c r="A6" s="9">
        <v>45637.609701319445</v>
      </c>
      <c r="B6" t="s">
        <v>24</v>
      </c>
      <c r="C6">
        <v>99.999813849999995</v>
      </c>
      <c r="D6" s="1">
        <v>1.43178210569032E-7</v>
      </c>
      <c r="E6">
        <v>1.9388999999999999E-3</v>
      </c>
      <c r="F6" s="1">
        <v>9.4339811320565396E-7</v>
      </c>
      <c r="G6">
        <v>1591.5</v>
      </c>
      <c r="H6">
        <v>15</v>
      </c>
      <c r="J6">
        <f t="shared" si="0"/>
        <v>99.999813971999998</v>
      </c>
      <c r="K6">
        <f t="shared" si="1"/>
        <v>1.9120999999999999E-3</v>
      </c>
      <c r="L6">
        <f t="shared" si="2"/>
        <v>1.912162945697681E-6</v>
      </c>
      <c r="M6">
        <v>100</v>
      </c>
      <c r="N6">
        <f t="shared" si="3"/>
        <v>-1.8602800000433461</v>
      </c>
      <c r="O6">
        <f t="shared" si="4"/>
        <v>-4.2</v>
      </c>
    </row>
    <row r="7" spans="1:16" x14ac:dyDescent="0.25">
      <c r="A7" s="9">
        <v>45637.610507361111</v>
      </c>
      <c r="B7" t="s">
        <v>25</v>
      </c>
      <c r="C7">
        <v>99.99983014</v>
      </c>
      <c r="D7" s="1">
        <v>1.01980393135795E-7</v>
      </c>
      <c r="E7">
        <v>2.2363999999999999E-3</v>
      </c>
      <c r="F7" s="1">
        <v>3.0066592756745399E-6</v>
      </c>
      <c r="G7">
        <v>1591.5</v>
      </c>
      <c r="H7">
        <v>15</v>
      </c>
      <c r="J7">
        <f t="shared" si="0"/>
        <v>99.999830262000003</v>
      </c>
      <c r="K7">
        <f t="shared" si="1"/>
        <v>2.2095999999999999E-3</v>
      </c>
      <c r="L7">
        <f t="shared" si="2"/>
        <v>2.2096723793426884E-6</v>
      </c>
      <c r="M7">
        <v>100</v>
      </c>
      <c r="N7">
        <f t="shared" si="3"/>
        <v>-1.6973799999986383</v>
      </c>
      <c r="O7">
        <f t="shared" si="4"/>
        <v>-4.0370999999552923</v>
      </c>
    </row>
    <row r="8" spans="1:16" x14ac:dyDescent="0.25">
      <c r="A8" s="9">
        <v>45637.611628923609</v>
      </c>
      <c r="B8" t="s">
        <v>26</v>
      </c>
      <c r="C8">
        <v>9.9999776659999906</v>
      </c>
      <c r="D8" s="1">
        <v>7.9271684790939105E-8</v>
      </c>
      <c r="E8">
        <v>-2.7838E-4</v>
      </c>
      <c r="F8" s="1">
        <v>1.1762652762026E-6</v>
      </c>
      <c r="G8">
        <v>1591.5</v>
      </c>
      <c r="H8">
        <v>15</v>
      </c>
      <c r="J8">
        <f t="shared" si="0"/>
        <v>9.99997778799999</v>
      </c>
      <c r="K8">
        <f t="shared" si="1"/>
        <v>-3.0518E-4</v>
      </c>
      <c r="L8">
        <f t="shared" si="2"/>
        <v>-3.0519015657379626E-6</v>
      </c>
      <c r="M8">
        <v>10</v>
      </c>
      <c r="N8">
        <f t="shared" si="3"/>
        <v>-2.2212000010402022</v>
      </c>
      <c r="O8">
        <f t="shared" si="4"/>
        <v>-4.5609200009968562</v>
      </c>
    </row>
    <row r="9" spans="1:16" x14ac:dyDescent="0.25">
      <c r="A9" s="9">
        <v>45637.612543900461</v>
      </c>
      <c r="B9" t="s">
        <v>28</v>
      </c>
      <c r="C9">
        <v>9.9999753869999992</v>
      </c>
      <c r="D9" s="1">
        <v>8.4504437684310093E-8</v>
      </c>
      <c r="E9">
        <v>-2.2468999999999999E-4</v>
      </c>
      <c r="F9" s="1">
        <v>8.7914731416299103E-7</v>
      </c>
      <c r="G9">
        <v>1591.5</v>
      </c>
      <c r="H9">
        <v>15</v>
      </c>
      <c r="I9" t="s">
        <v>236</v>
      </c>
      <c r="J9">
        <f t="shared" si="0"/>
        <v>9.9999755089999987</v>
      </c>
      <c r="K9">
        <f t="shared" si="1"/>
        <v>-2.5148999999999999E-4</v>
      </c>
      <c r="L9">
        <f t="shared" si="2"/>
        <v>-2.514984270549502E-6</v>
      </c>
      <c r="M9">
        <v>10</v>
      </c>
      <c r="N9">
        <f t="shared" si="3"/>
        <v>-2.4491000001347629</v>
      </c>
      <c r="O9">
        <f t="shared" si="4"/>
        <v>-4.788820000091417</v>
      </c>
    </row>
    <row r="10" spans="1:16" x14ac:dyDescent="0.25">
      <c r="A10" s="9">
        <v>45637.613870196757</v>
      </c>
      <c r="B10" t="s">
        <v>29</v>
      </c>
      <c r="C10">
        <v>99.999802090000003</v>
      </c>
      <c r="D10" s="1">
        <v>9.4339810540097306E-8</v>
      </c>
      <c r="E10">
        <v>8.5429999999999903E-4</v>
      </c>
      <c r="F10" s="1">
        <v>1.00498756211206E-6</v>
      </c>
      <c r="G10">
        <v>1591.5</v>
      </c>
      <c r="H10">
        <v>15</v>
      </c>
      <c r="J10">
        <f t="shared" si="0"/>
        <v>99.999802212000006</v>
      </c>
      <c r="K10">
        <f t="shared" si="1"/>
        <v>8.2749999999999903E-4</v>
      </c>
      <c r="L10">
        <f t="shared" si="2"/>
        <v>8.2752733834288071E-7</v>
      </c>
      <c r="M10">
        <v>100</v>
      </c>
      <c r="N10">
        <f t="shared" si="3"/>
        <v>-1.9778799998926289</v>
      </c>
      <c r="O10">
        <f t="shared" si="4"/>
        <v>-4.3175999998492829</v>
      </c>
    </row>
    <row r="11" spans="1:16" x14ac:dyDescent="0.25">
      <c r="A11" s="9">
        <v>45637.614799143521</v>
      </c>
      <c r="B11" t="s">
        <v>30</v>
      </c>
      <c r="C11">
        <v>99.999890539999996</v>
      </c>
      <c r="D11" s="1">
        <v>1.1999999737592299E-7</v>
      </c>
      <c r="E11">
        <v>9.3619999999999999E-4</v>
      </c>
      <c r="F11" s="1">
        <v>1.32664991614217E-6</v>
      </c>
      <c r="G11">
        <v>1591.5</v>
      </c>
      <c r="H11">
        <v>15</v>
      </c>
      <c r="J11">
        <f t="shared" si="0"/>
        <v>99.999890661999999</v>
      </c>
      <c r="K11">
        <f t="shared" si="1"/>
        <v>9.0939999999999999E-4</v>
      </c>
      <c r="L11">
        <f t="shared" si="2"/>
        <v>9.0942923970373467E-7</v>
      </c>
      <c r="M11">
        <v>100</v>
      </c>
      <c r="N11">
        <f t="shared" si="3"/>
        <v>-1.0933799999834903</v>
      </c>
      <c r="O11">
        <f t="shared" si="4"/>
        <v>-3.4330999999401444</v>
      </c>
    </row>
    <row r="12" spans="1:16" x14ac:dyDescent="0.25">
      <c r="A12" s="9">
        <v>45637.631125231484</v>
      </c>
      <c r="B12" t="s">
        <v>31</v>
      </c>
      <c r="C12">
        <v>10.000194689999899</v>
      </c>
      <c r="D12" s="1">
        <v>1.37477271046848E-7</v>
      </c>
      <c r="E12">
        <v>9.4844999999999999E-4</v>
      </c>
      <c r="F12" s="1">
        <v>1.3887044321957001E-6</v>
      </c>
      <c r="G12">
        <v>1591.5</v>
      </c>
      <c r="H12">
        <v>15</v>
      </c>
      <c r="I12" t="s">
        <v>237</v>
      </c>
      <c r="J12">
        <f t="shared" si="0"/>
        <v>10.000194811999899</v>
      </c>
      <c r="K12">
        <f t="shared" si="1"/>
        <v>9.2164999999999999E-4</v>
      </c>
      <c r="L12">
        <f t="shared" si="2"/>
        <v>9.2166067077289861E-6</v>
      </c>
      <c r="M12">
        <v>10</v>
      </c>
      <c r="N12">
        <f t="shared" si="3"/>
        <v>19.481199989845877</v>
      </c>
      <c r="O12">
        <f t="shared" si="4"/>
        <v>17.141479989889223</v>
      </c>
    </row>
    <row r="13" spans="1:16" x14ac:dyDescent="0.25">
      <c r="A13" s="9">
        <v>45637.632679270835</v>
      </c>
      <c r="B13" t="s">
        <v>33</v>
      </c>
      <c r="C13">
        <v>100.00412900000001</v>
      </c>
      <c r="D13">
        <v>0</v>
      </c>
      <c r="E13">
        <v>8.6301999999999993E-3</v>
      </c>
      <c r="F13" s="1">
        <v>2.7294688127912899E-6</v>
      </c>
      <c r="G13">
        <v>1591.5</v>
      </c>
      <c r="H13">
        <v>15</v>
      </c>
      <c r="J13">
        <f t="shared" si="0"/>
        <v>100.00412912200001</v>
      </c>
      <c r="K13">
        <f t="shared" si="1"/>
        <v>8.6033999999999989E-3</v>
      </c>
      <c r="L13">
        <f t="shared" si="2"/>
        <v>8.6033119745666183E-6</v>
      </c>
      <c r="M13">
        <v>100</v>
      </c>
      <c r="N13">
        <f t="shared" si="3"/>
        <v>41.29122000007257</v>
      </c>
      <c r="O13">
        <f t="shared" si="4"/>
        <v>38.951500000115914</v>
      </c>
    </row>
    <row r="14" spans="1:16" x14ac:dyDescent="0.25">
      <c r="A14" s="9">
        <v>45637.668966296296</v>
      </c>
      <c r="B14" t="s">
        <v>34</v>
      </c>
      <c r="C14">
        <v>1000.032592</v>
      </c>
      <c r="D14" s="1">
        <v>3.99999998990097E-6</v>
      </c>
      <c r="E14">
        <v>0.195855</v>
      </c>
      <c r="F14" s="1">
        <v>2.6925824035674102E-5</v>
      </c>
      <c r="G14">
        <v>1591.5</v>
      </c>
      <c r="H14">
        <v>1.5</v>
      </c>
      <c r="J14">
        <f t="shared" si="0"/>
        <v>1000.032592122</v>
      </c>
      <c r="K14">
        <f t="shared" si="1"/>
        <v>0.19582820000000001</v>
      </c>
      <c r="L14">
        <f t="shared" si="2"/>
        <v>1.9582789984530093E-5</v>
      </c>
      <c r="M14">
        <v>1000</v>
      </c>
      <c r="N14">
        <f t="shared" si="3"/>
        <v>32.59212199990813</v>
      </c>
      <c r="O14">
        <f t="shared" si="4"/>
        <v>30.252401999951477</v>
      </c>
    </row>
    <row r="15" spans="1:16" x14ac:dyDescent="0.25">
      <c r="A15" s="9">
        <v>45637.670517372688</v>
      </c>
      <c r="B15" t="s">
        <v>35</v>
      </c>
      <c r="C15">
        <v>1000.003</v>
      </c>
      <c r="D15">
        <v>1.8132843129675999E-4</v>
      </c>
      <c r="E15">
        <v>0.210034</v>
      </c>
      <c r="F15">
        <v>2.6792536274119902E-4</v>
      </c>
      <c r="G15">
        <v>1591.5</v>
      </c>
      <c r="H15">
        <v>1.5</v>
      </c>
      <c r="J15">
        <f t="shared" si="0"/>
        <v>1000.003000122</v>
      </c>
      <c r="K15">
        <f t="shared" si="1"/>
        <v>0.2100072</v>
      </c>
      <c r="L15">
        <f t="shared" si="2"/>
        <v>2.1001309261740207E-5</v>
      </c>
      <c r="M15">
        <v>1000</v>
      </c>
      <c r="N15">
        <f t="shared" si="3"/>
        <v>3.0001219999409301</v>
      </c>
      <c r="O15">
        <f t="shared" si="4"/>
        <v>0.66040199998427607</v>
      </c>
    </row>
    <row r="16" spans="1:16" x14ac:dyDescent="0.25">
      <c r="A16" s="9">
        <v>45637.672379791664</v>
      </c>
      <c r="B16" t="s">
        <v>36</v>
      </c>
      <c r="C16">
        <v>4.9999502749999998</v>
      </c>
      <c r="D16" s="1">
        <v>6.0868711256547894E-8</v>
      </c>
      <c r="E16">
        <v>2.5175000000000002E-4</v>
      </c>
      <c r="F16" s="1">
        <v>1.68300326797068E-6</v>
      </c>
      <c r="G16">
        <v>1591.5</v>
      </c>
      <c r="H16">
        <v>15</v>
      </c>
      <c r="I16" t="s">
        <v>238</v>
      </c>
      <c r="J16">
        <f t="shared" si="0"/>
        <v>4.9999503970000001</v>
      </c>
      <c r="K16">
        <f t="shared" si="1"/>
        <v>2.2495000000000002E-4</v>
      </c>
      <c r="L16">
        <f t="shared" si="2"/>
        <v>4.4991843705207329E-6</v>
      </c>
      <c r="M16">
        <v>5</v>
      </c>
      <c r="N16">
        <f t="shared" si="3"/>
        <v>-9.9205999999352201</v>
      </c>
      <c r="O16">
        <f t="shared" si="4"/>
        <v>-12.260319999891873</v>
      </c>
    </row>
    <row r="17" spans="1:15" x14ac:dyDescent="0.25">
      <c r="A17" s="9">
        <v>45637.673785416664</v>
      </c>
      <c r="B17" t="s">
        <v>38</v>
      </c>
      <c r="C17">
        <v>5.000107979</v>
      </c>
      <c r="D17" s="1">
        <v>2.5664956646134801E-7</v>
      </c>
      <c r="E17" s="1">
        <v>-5.4819999999999899E-5</v>
      </c>
      <c r="F17" s="1">
        <v>8.40358709123669E-5</v>
      </c>
      <c r="G17">
        <v>1591.5</v>
      </c>
      <c r="H17">
        <v>15</v>
      </c>
      <c r="J17">
        <f t="shared" si="0"/>
        <v>5.0001081010000004</v>
      </c>
      <c r="K17">
        <f t="shared" si="1"/>
        <v>-8.16199999999999E-5</v>
      </c>
      <c r="L17">
        <f t="shared" si="2"/>
        <v>-1.6324154080978203E-6</v>
      </c>
      <c r="M17">
        <v>5</v>
      </c>
      <c r="N17">
        <f t="shared" si="3"/>
        <v>21.620200000072032</v>
      </c>
      <c r="O17">
        <f t="shared" si="4"/>
        <v>19.280480000115379</v>
      </c>
    </row>
    <row r="18" spans="1:15" x14ac:dyDescent="0.25">
      <c r="A18" s="9">
        <v>45637.675926898148</v>
      </c>
      <c r="B18" t="s">
        <v>40</v>
      </c>
      <c r="C18">
        <v>0.50005215999999997</v>
      </c>
      <c r="D18" s="1">
        <v>6.8992753246556301E-8</v>
      </c>
      <c r="E18" s="1">
        <v>7.9799999999999893E-5</v>
      </c>
      <c r="F18" s="1">
        <v>9.5812316536027895E-7</v>
      </c>
      <c r="G18">
        <v>1591.5</v>
      </c>
      <c r="H18">
        <v>15</v>
      </c>
      <c r="J18">
        <f t="shared" si="0"/>
        <v>0.50005228199999996</v>
      </c>
      <c r="K18">
        <f t="shared" si="1"/>
        <v>5.2999999999999892E-5</v>
      </c>
      <c r="L18">
        <f t="shared" si="2"/>
        <v>1.0599220931928874E-5</v>
      </c>
      <c r="M18">
        <v>0.5</v>
      </c>
      <c r="N18">
        <f t="shared" si="3"/>
        <v>104.56399999991817</v>
      </c>
      <c r="O18">
        <f t="shared" si="4"/>
        <v>102.22427999996151</v>
      </c>
    </row>
    <row r="19" spans="1:15" x14ac:dyDescent="0.25">
      <c r="A19" s="9">
        <v>45637.679648101854</v>
      </c>
      <c r="B19" t="s">
        <v>42</v>
      </c>
      <c r="C19">
        <v>1000.162698</v>
      </c>
      <c r="D19">
        <v>1.09708705218229E-4</v>
      </c>
      <c r="E19">
        <v>1.1263300000000001</v>
      </c>
      <c r="F19">
        <v>0.68349651067141504</v>
      </c>
      <c r="G19">
        <v>1591.5</v>
      </c>
      <c r="H19">
        <v>1.5</v>
      </c>
      <c r="I19" t="s">
        <v>239</v>
      </c>
      <c r="J19">
        <f t="shared" si="0"/>
        <v>1000.1626981219999</v>
      </c>
      <c r="K19">
        <f t="shared" si="1"/>
        <v>1.1263031999999999</v>
      </c>
      <c r="L19">
        <f t="shared" si="2"/>
        <v>1.1261549589225157E-4</v>
      </c>
      <c r="M19">
        <v>1000</v>
      </c>
      <c r="N19">
        <f t="shared" si="3"/>
        <v>162.69812199998233</v>
      </c>
      <c r="O19">
        <f t="shared" si="4"/>
        <v>160.35840200002568</v>
      </c>
    </row>
    <row r="20" spans="1:15" x14ac:dyDescent="0.25">
      <c r="A20" s="9">
        <v>45637.685070671294</v>
      </c>
      <c r="B20" t="s">
        <v>44</v>
      </c>
      <c r="C20">
        <v>10.00040811</v>
      </c>
      <c r="D20" s="1">
        <v>9.4339811443904304E-8</v>
      </c>
      <c r="E20">
        <v>4.8140999999999999E-4</v>
      </c>
      <c r="F20" s="1">
        <v>1.46318146516418E-6</v>
      </c>
      <c r="G20">
        <v>1591.5</v>
      </c>
      <c r="H20">
        <v>15</v>
      </c>
      <c r="J20">
        <f t="shared" si="0"/>
        <v>10.000408232</v>
      </c>
      <c r="K20">
        <f t="shared" si="1"/>
        <v>4.5460999999999999E-4</v>
      </c>
      <c r="L20">
        <f t="shared" si="2"/>
        <v>4.5460556142690165E-6</v>
      </c>
      <c r="M20">
        <v>10</v>
      </c>
      <c r="N20">
        <f t="shared" si="3"/>
        <v>40.823199999984183</v>
      </c>
      <c r="O20">
        <f t="shared" si="4"/>
        <v>38.483480000027527</v>
      </c>
    </row>
    <row r="21" spans="1:15" x14ac:dyDescent="0.25">
      <c r="A21" s="9">
        <v>45637.688239201387</v>
      </c>
      <c r="B21" t="s">
        <v>46</v>
      </c>
      <c r="C21">
        <v>10.00015973</v>
      </c>
      <c r="D21" s="1">
        <v>1.18743420971498E-7</v>
      </c>
      <c r="E21">
        <v>4.7926999999999898E-4</v>
      </c>
      <c r="F21" s="1">
        <v>1.20253898065717E-6</v>
      </c>
      <c r="G21">
        <v>1591.5</v>
      </c>
      <c r="H21">
        <v>15</v>
      </c>
      <c r="J21">
        <f t="shared" si="0"/>
        <v>10.000159851999999</v>
      </c>
      <c r="K21">
        <f t="shared" si="1"/>
        <v>4.5246999999999898E-4</v>
      </c>
      <c r="L21">
        <f t="shared" si="2"/>
        <v>4.5247682048122535E-6</v>
      </c>
      <c r="M21">
        <v>10</v>
      </c>
      <c r="N21">
        <f t="shared" si="3"/>
        <v>15.985199999901667</v>
      </c>
      <c r="O21">
        <f t="shared" si="4"/>
        <v>13.645479999945014</v>
      </c>
    </row>
    <row r="22" spans="1:15" x14ac:dyDescent="0.25">
      <c r="A22" s="9">
        <v>45637.689535092592</v>
      </c>
      <c r="B22" t="s">
        <v>47</v>
      </c>
      <c r="C22">
        <v>10.000127839999999</v>
      </c>
      <c r="D22" s="1">
        <v>1.3564659954527201E-7</v>
      </c>
      <c r="E22">
        <v>4.7107999999999899E-4</v>
      </c>
      <c r="F22" s="1">
        <v>9.6726418314750192E-7</v>
      </c>
      <c r="G22">
        <v>1591.5</v>
      </c>
      <c r="H22">
        <v>15</v>
      </c>
      <c r="J22">
        <f t="shared" si="0"/>
        <v>10.000127961999999</v>
      </c>
      <c r="K22">
        <f t="shared" si="1"/>
        <v>4.4427999999999899E-4</v>
      </c>
      <c r="L22">
        <f t="shared" si="2"/>
        <v>4.4428811383824551E-6</v>
      </c>
      <c r="M22">
        <v>10</v>
      </c>
      <c r="N22">
        <f t="shared" si="3"/>
        <v>12.796199999831614</v>
      </c>
      <c r="O22">
        <f t="shared" si="4"/>
        <v>10.456479999874961</v>
      </c>
    </row>
    <row r="23" spans="1:15" x14ac:dyDescent="0.25">
      <c r="A23" s="9">
        <v>45637.69070846065</v>
      </c>
      <c r="B23" t="s">
        <v>48</v>
      </c>
      <c r="C23">
        <v>10.000235729999901</v>
      </c>
      <c r="D23" s="1">
        <v>1.3453624072258499E-7</v>
      </c>
      <c r="E23">
        <v>5.0416999999999997E-4</v>
      </c>
      <c r="F23" s="1">
        <v>1.2522379965485801E-6</v>
      </c>
      <c r="G23">
        <v>1591.5</v>
      </c>
      <c r="H23">
        <v>15</v>
      </c>
      <c r="J23">
        <f t="shared" si="0"/>
        <v>10.0002358519999</v>
      </c>
      <c r="K23">
        <f t="shared" si="1"/>
        <v>4.7736999999999996E-4</v>
      </c>
      <c r="L23">
        <f t="shared" si="2"/>
        <v>4.7737356783987244E-6</v>
      </c>
      <c r="M23">
        <v>10</v>
      </c>
      <c r="N23">
        <f t="shared" si="3"/>
        <v>23.585199989906158</v>
      </c>
      <c r="O23">
        <f t="shared" si="4"/>
        <v>21.245479989949505</v>
      </c>
    </row>
    <row r="24" spans="1:15" x14ac:dyDescent="0.25">
      <c r="A24" s="9">
        <v>45637.691561122687</v>
      </c>
      <c r="B24" t="s">
        <v>49</v>
      </c>
      <c r="C24">
        <v>9.9999840019999997</v>
      </c>
      <c r="D24" s="1">
        <v>1.34298175698956E-7</v>
      </c>
      <c r="E24">
        <v>4.6921999999999898E-4</v>
      </c>
      <c r="F24" s="1">
        <v>1.3399999999999899E-6</v>
      </c>
      <c r="G24">
        <v>1591.5</v>
      </c>
      <c r="H24">
        <v>15</v>
      </c>
      <c r="J24">
        <f t="shared" si="0"/>
        <v>9.9999841239999991</v>
      </c>
      <c r="K24">
        <f t="shared" si="1"/>
        <v>4.4241999999999898E-4</v>
      </c>
      <c r="L24">
        <f t="shared" si="2"/>
        <v>4.4243444367638229E-6</v>
      </c>
      <c r="M24">
        <v>10</v>
      </c>
      <c r="N24">
        <f t="shared" si="3"/>
        <v>-1.5876000001302515</v>
      </c>
      <c r="O24">
        <f t="shared" si="4"/>
        <v>-3.9273200000869055</v>
      </c>
    </row>
    <row r="25" spans="1:15" x14ac:dyDescent="0.25">
      <c r="A25" s="9">
        <v>45637.692440833336</v>
      </c>
      <c r="B25" t="s">
        <v>50</v>
      </c>
      <c r="C25">
        <v>10.000243040000001</v>
      </c>
      <c r="D25" s="1">
        <v>1.4282856844903899E-7</v>
      </c>
      <c r="E25">
        <v>5.042E-4</v>
      </c>
      <c r="F25" s="1">
        <v>7.4833147735480605E-7</v>
      </c>
      <c r="G25">
        <v>1591.5</v>
      </c>
      <c r="H25">
        <v>15</v>
      </c>
      <c r="J25">
        <f t="shared" si="0"/>
        <v>10.000243162</v>
      </c>
      <c r="K25">
        <f t="shared" si="1"/>
        <v>4.774E-4</v>
      </c>
      <c r="L25">
        <f t="shared" si="2"/>
        <v>4.7740321909056371E-6</v>
      </c>
      <c r="M25">
        <v>10</v>
      </c>
      <c r="N25">
        <f t="shared" si="3"/>
        <v>24.316199999985244</v>
      </c>
      <c r="O25">
        <f t="shared" si="4"/>
        <v>21.976480000028591</v>
      </c>
    </row>
    <row r="26" spans="1:15" x14ac:dyDescent="0.25">
      <c r="A26" s="9">
        <v>45637.69359570602</v>
      </c>
      <c r="B26" t="s">
        <v>51</v>
      </c>
      <c r="C26">
        <v>10.0003471699999</v>
      </c>
      <c r="D26" s="1">
        <v>1.7349351600561E-7</v>
      </c>
      <c r="E26">
        <v>4.9595999999999896E-4</v>
      </c>
      <c r="F26" s="1">
        <v>1.4256226709757199E-6</v>
      </c>
      <c r="G26">
        <v>1591.5</v>
      </c>
      <c r="H26">
        <v>15</v>
      </c>
      <c r="J26">
        <f t="shared" si="0"/>
        <v>10.000347291999899</v>
      </c>
      <c r="K26">
        <f t="shared" si="1"/>
        <v>4.6915999999999896E-4</v>
      </c>
      <c r="L26">
        <f t="shared" si="2"/>
        <v>4.6915827830218992E-6</v>
      </c>
      <c r="M26">
        <v>10</v>
      </c>
      <c r="N26">
        <f t="shared" si="3"/>
        <v>34.729199990035653</v>
      </c>
      <c r="O26">
        <f t="shared" si="4"/>
        <v>32.389479990078996</v>
      </c>
    </row>
    <row r="27" spans="1:15" x14ac:dyDescent="0.25">
      <c r="A27" s="9">
        <v>45637.694689467593</v>
      </c>
      <c r="B27" t="s">
        <v>53</v>
      </c>
      <c r="C27">
        <v>10.00026188</v>
      </c>
      <c r="D27" s="1">
        <v>1.46969384640714E-7</v>
      </c>
      <c r="E27">
        <v>4.9516000000000002E-4</v>
      </c>
      <c r="F27" s="1">
        <v>1.64450600485375E-6</v>
      </c>
      <c r="G27">
        <v>1591.5</v>
      </c>
      <c r="H27">
        <v>15</v>
      </c>
      <c r="J27">
        <f t="shared" si="0"/>
        <v>10.000262001999999</v>
      </c>
      <c r="K27">
        <f t="shared" si="1"/>
        <v>4.6836000000000002E-4</v>
      </c>
      <c r="L27">
        <f t="shared" si="2"/>
        <v>4.6836227576110604E-6</v>
      </c>
      <c r="M27">
        <v>10</v>
      </c>
      <c r="N27">
        <f t="shared" si="3"/>
        <v>26.20019999999279</v>
      </c>
      <c r="O27">
        <f t="shared" si="4"/>
        <v>23.860480000036137</v>
      </c>
    </row>
    <row r="28" spans="1:15" x14ac:dyDescent="0.25">
      <c r="A28" s="9">
        <v>45637.696016504633</v>
      </c>
      <c r="B28" t="s">
        <v>54</v>
      </c>
      <c r="C28">
        <v>10.00039568</v>
      </c>
      <c r="D28" s="1">
        <v>9.7979589877313302E-8</v>
      </c>
      <c r="E28">
        <v>5.0283999999999995E-4</v>
      </c>
      <c r="F28" s="1">
        <v>1.2870120434557E-6</v>
      </c>
      <c r="G28">
        <v>1591.5</v>
      </c>
      <c r="H28">
        <v>15</v>
      </c>
      <c r="J28">
        <f t="shared" si="0"/>
        <v>10.000395802</v>
      </c>
      <c r="K28">
        <f t="shared" si="1"/>
        <v>4.7603999999999995E-4</v>
      </c>
      <c r="L28">
        <f t="shared" si="2"/>
        <v>4.7603594388416871E-6</v>
      </c>
      <c r="M28">
        <v>10</v>
      </c>
      <c r="N28">
        <f t="shared" si="3"/>
        <v>39.580199999944554</v>
      </c>
      <c r="O28">
        <f t="shared" si="4"/>
        <v>37.240479999987897</v>
      </c>
    </row>
    <row r="29" spans="1:15" x14ac:dyDescent="0.25">
      <c r="A29" s="9">
        <v>45637.697016446757</v>
      </c>
      <c r="B29" t="s">
        <v>55</v>
      </c>
      <c r="C29">
        <v>10.00042</v>
      </c>
      <c r="D29" s="1">
        <v>8.9442718556406002E-8</v>
      </c>
      <c r="E29">
        <v>4.8888000000000002E-4</v>
      </c>
      <c r="F29" s="1">
        <v>1.6277591959500701E-6</v>
      </c>
      <c r="G29">
        <v>1591.5</v>
      </c>
      <c r="H29">
        <v>15</v>
      </c>
      <c r="J29">
        <f t="shared" si="0"/>
        <v>10.000420122</v>
      </c>
      <c r="K29">
        <f t="shared" si="1"/>
        <v>4.6208000000000002E-4</v>
      </c>
      <c r="L29">
        <f t="shared" si="2"/>
        <v>4.6207493910907297E-6</v>
      </c>
      <c r="M29">
        <v>10</v>
      </c>
      <c r="N29">
        <f t="shared" si="3"/>
        <v>42.012199999996724</v>
      </c>
      <c r="O29">
        <f t="shared" si="4"/>
        <v>39.672480000040068</v>
      </c>
    </row>
    <row r="30" spans="1:15" x14ac:dyDescent="0.25">
      <c r="A30" s="9">
        <v>45637.697994224538</v>
      </c>
      <c r="B30" t="s">
        <v>56</v>
      </c>
      <c r="C30">
        <v>10.000234749999899</v>
      </c>
      <c r="D30" s="1">
        <v>1.11803398592713E-7</v>
      </c>
      <c r="E30">
        <v>4.8819999999999999E-4</v>
      </c>
      <c r="F30" s="1">
        <v>1.16533257055657E-6</v>
      </c>
      <c r="G30">
        <v>1591.5</v>
      </c>
      <c r="H30">
        <v>15</v>
      </c>
      <c r="I30" t="s">
        <v>203</v>
      </c>
      <c r="J30">
        <f t="shared" si="0"/>
        <v>10.000234871999899</v>
      </c>
      <c r="K30">
        <f t="shared" si="1"/>
        <v>4.6139999999999999E-4</v>
      </c>
      <c r="L30">
        <f t="shared" si="2"/>
        <v>4.6140349369735491E-6</v>
      </c>
      <c r="M30">
        <v>10</v>
      </c>
      <c r="N30">
        <f t="shared" si="3"/>
        <v>23.487199989791208</v>
      </c>
      <c r="O30">
        <f t="shared" si="4"/>
        <v>21.147479989834554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4984-8EC3-4FA3-BF2E-2A86F7028EDB}">
  <dimension ref="A1:AH33"/>
  <sheetViews>
    <sheetView zoomScaleNormal="100" workbookViewId="0">
      <pane xSplit="1" ySplit="3" topLeftCell="Q4" activePane="bottomRight" state="frozen"/>
      <selection pane="topRight" activeCell="B1" sqref="B1"/>
      <selection pane="bottomLeft" activeCell="A4" sqref="A4"/>
      <selection pane="bottomRight" activeCell="AF8" sqref="AF8"/>
    </sheetView>
  </sheetViews>
  <sheetFormatPr defaultRowHeight="15" x14ac:dyDescent="0.25"/>
  <cols>
    <col min="1" max="1" width="17.42578125" bestFit="1" customWidth="1"/>
    <col min="2" max="2" width="9.42578125" customWidth="1"/>
    <col min="3" max="3" width="10.42578125" customWidth="1"/>
    <col min="4" max="5" width="11.28515625" customWidth="1"/>
    <col min="6" max="6" width="9.7109375" customWidth="1"/>
    <col min="7" max="7" width="12.42578125" customWidth="1"/>
    <col min="8" max="8" width="12.28515625" customWidth="1"/>
    <col min="9" max="9" width="10.7109375" customWidth="1"/>
    <col min="10" max="10" width="12.5703125" customWidth="1"/>
    <col min="11" max="11" width="12.28515625" customWidth="1"/>
    <col min="12" max="12" width="11" customWidth="1"/>
    <col min="13" max="13" width="13.28515625" customWidth="1"/>
    <col min="14" max="27" width="12.5703125" customWidth="1"/>
    <col min="28" max="28" width="10.7109375" bestFit="1" customWidth="1"/>
    <col min="30" max="31" width="11.85546875" bestFit="1" customWidth="1"/>
    <col min="32" max="32" width="10.7109375" customWidth="1"/>
  </cols>
  <sheetData>
    <row r="1" spans="1:34" x14ac:dyDescent="0.25">
      <c r="A1" t="s">
        <v>204</v>
      </c>
      <c r="C1">
        <v>23.295000000000002</v>
      </c>
      <c r="D1">
        <v>21.655000000000001</v>
      </c>
      <c r="E1">
        <v>23.658999999999999</v>
      </c>
      <c r="F1">
        <v>23.35</v>
      </c>
      <c r="G1">
        <v>23.678000000000001</v>
      </c>
      <c r="H1">
        <v>23.679400000000001</v>
      </c>
      <c r="I1">
        <v>23.6843</v>
      </c>
      <c r="J1">
        <v>23.686</v>
      </c>
      <c r="K1">
        <v>23.686499999999999</v>
      </c>
      <c r="L1">
        <v>23.78</v>
      </c>
      <c r="M1">
        <v>23.686499999999999</v>
      </c>
      <c r="N1">
        <v>23.786000000000001</v>
      </c>
      <c r="O1">
        <v>24.757000000000001</v>
      </c>
      <c r="P1">
        <v>24.757000000000001</v>
      </c>
      <c r="Q1">
        <v>23.733000000000001</v>
      </c>
      <c r="R1">
        <v>23.73</v>
      </c>
      <c r="S1">
        <v>23.73</v>
      </c>
      <c r="T1">
        <v>23.734000000000002</v>
      </c>
      <c r="U1">
        <v>23.73</v>
      </c>
      <c r="V1">
        <v>23.73</v>
      </c>
      <c r="W1">
        <v>23.738</v>
      </c>
      <c r="X1">
        <v>23.727</v>
      </c>
      <c r="Y1">
        <v>23.73</v>
      </c>
      <c r="AE1">
        <f>D1-C1</f>
        <v>-1.6400000000000006</v>
      </c>
      <c r="AF1">
        <f>E1-D1</f>
        <v>2.0039999999999978</v>
      </c>
    </row>
    <row r="2" spans="1:34" x14ac:dyDescent="0.25">
      <c r="A2" t="s">
        <v>205</v>
      </c>
      <c r="B2">
        <v>25.46</v>
      </c>
      <c r="C2">
        <v>25.48</v>
      </c>
      <c r="D2">
        <v>21.122</v>
      </c>
      <c r="E2">
        <v>23.98</v>
      </c>
      <c r="F2">
        <v>24.006</v>
      </c>
      <c r="G2">
        <v>24.010200000000001</v>
      </c>
      <c r="H2">
        <v>23.984000000000002</v>
      </c>
      <c r="I2">
        <v>24.011800000000001</v>
      </c>
      <c r="J2">
        <v>23.998999999999999</v>
      </c>
      <c r="K2">
        <v>24.012799999999999</v>
      </c>
      <c r="L2">
        <v>24.1065</v>
      </c>
      <c r="M2">
        <v>23.910799999999998</v>
      </c>
      <c r="N2">
        <v>23.910299999999999</v>
      </c>
      <c r="O2">
        <v>25.154599999999999</v>
      </c>
      <c r="P2">
        <v>25.154599999999999</v>
      </c>
      <c r="Q2">
        <v>23.911000000000001</v>
      </c>
      <c r="R2">
        <v>23.905999999999999</v>
      </c>
      <c r="S2">
        <v>23.905999999999999</v>
      </c>
      <c r="T2">
        <v>23.905999999999999</v>
      </c>
      <c r="U2">
        <v>23.907499999999999</v>
      </c>
      <c r="V2">
        <v>24.099</v>
      </c>
      <c r="W2">
        <v>24.094999999999999</v>
      </c>
      <c r="X2">
        <v>23.9055</v>
      </c>
      <c r="Y2">
        <v>24.090299999999999</v>
      </c>
      <c r="AD2" t="s">
        <v>206</v>
      </c>
      <c r="AE2">
        <f>D2-AVERAGE(B2:C2)</f>
        <v>-4.347999999999999</v>
      </c>
      <c r="AF2">
        <f>E2-D2</f>
        <v>2.8580000000000005</v>
      </c>
    </row>
    <row r="3" spans="1:34" x14ac:dyDescent="0.25">
      <c r="A3" t="s">
        <v>207</v>
      </c>
      <c r="B3" s="6">
        <v>44658</v>
      </c>
      <c r="C3" s="6">
        <v>44662</v>
      </c>
      <c r="D3" s="6">
        <v>44711</v>
      </c>
      <c r="E3" s="6">
        <v>44712</v>
      </c>
      <c r="F3" s="6">
        <v>44714</v>
      </c>
      <c r="G3" s="6">
        <v>44732</v>
      </c>
      <c r="H3" s="6">
        <v>44733</v>
      </c>
      <c r="I3" s="6">
        <v>44746</v>
      </c>
      <c r="J3" s="6">
        <v>44753</v>
      </c>
      <c r="K3" s="6">
        <v>44767</v>
      </c>
      <c r="L3" s="6">
        <v>44774</v>
      </c>
      <c r="M3" s="6">
        <v>44827</v>
      </c>
      <c r="N3" s="6">
        <v>44859</v>
      </c>
      <c r="O3" s="6">
        <v>44876</v>
      </c>
      <c r="P3" s="6">
        <v>44942</v>
      </c>
      <c r="Q3" s="6">
        <v>45013</v>
      </c>
      <c r="R3" s="6">
        <v>45054</v>
      </c>
      <c r="S3" s="6">
        <v>45062</v>
      </c>
      <c r="T3" s="6">
        <v>45063</v>
      </c>
      <c r="U3" s="6">
        <v>45069</v>
      </c>
      <c r="V3" s="6">
        <v>45198</v>
      </c>
      <c r="W3" s="6">
        <v>45201</v>
      </c>
      <c r="X3" s="6">
        <v>45278</v>
      </c>
      <c r="Y3" s="6">
        <v>45498</v>
      </c>
      <c r="Z3" s="6"/>
      <c r="AA3" s="6"/>
      <c r="AB3" s="6"/>
      <c r="AD3" s="6">
        <f>C3</f>
        <v>44662</v>
      </c>
      <c r="AE3" s="6">
        <f>D3</f>
        <v>44711</v>
      </c>
      <c r="AF3" s="6"/>
    </row>
    <row r="4" spans="1:34" x14ac:dyDescent="0.25">
      <c r="A4" t="s">
        <v>17</v>
      </c>
      <c r="AG4" t="s">
        <v>208</v>
      </c>
      <c r="AH4" t="s">
        <v>209</v>
      </c>
    </row>
    <row r="5" spans="1:34" x14ac:dyDescent="0.25">
      <c r="A5" t="s">
        <v>21</v>
      </c>
      <c r="B5" s="5">
        <f>'AH2700A2022-04-07'!O4</f>
        <v>-4.883399999035217</v>
      </c>
      <c r="C5" s="5">
        <f>'AH2700A2022-04-11'!O4</f>
        <v>-4.8560700001045918</v>
      </c>
      <c r="D5" s="5">
        <f>'AH2700A2022-05-30'!O4</f>
        <v>-4.7940799999715198</v>
      </c>
      <c r="E5" s="5">
        <f>'AH2700A2022-05-31'!O4</f>
        <v>-4.8738399999095536</v>
      </c>
      <c r="F5" s="5">
        <f>'AH2700A2022-06-02'!O4</f>
        <v>-4.8285900000513324</v>
      </c>
      <c r="G5" s="5">
        <f>'AH2700A2022-06-20'!O4</f>
        <v>-4.9874400010932094</v>
      </c>
      <c r="H5" s="5">
        <f>'AH2700A2022-06-21'!O4</f>
        <v>-4.8415200010101431</v>
      </c>
      <c r="I5" s="5">
        <f>'AH2700A2022-07-04'!O4</f>
        <v>-4.8350599990323504</v>
      </c>
      <c r="J5" s="5">
        <f>'AH2700A2022-07-11'!O4</f>
        <v>-4.8678399999682229</v>
      </c>
      <c r="K5" s="5">
        <f>'AH2700A2022-07-25'!O4</f>
        <v>-4.8638099990796677</v>
      </c>
      <c r="L5" s="5">
        <f>'AH2700A2022-08-01'!O4</f>
        <v>-4.8235500000784102</v>
      </c>
      <c r="M5" s="5">
        <f>'AH2700A2022-09-23'!O4</f>
        <v>-4.8479900002132057</v>
      </c>
      <c r="N5" s="5">
        <f>'AH2700A2022-10-25'!O4</f>
        <v>-4.8353900000588554</v>
      </c>
      <c r="O5" s="5">
        <f>'AH2700A2022-11-11'!O4</f>
        <v>-4.8281400000140993</v>
      </c>
      <c r="P5" s="5">
        <f>'AH2700A2023-01-16'!O4</f>
        <v>-4.8097700001594932</v>
      </c>
      <c r="Q5" s="5">
        <f>'AH2700A2023-3-28'!O4</f>
        <v>-4.7963199999348136</v>
      </c>
      <c r="R5" s="5">
        <f>'AH2700A2023-5-08'!O4</f>
        <v>-4.7731300000144659</v>
      </c>
      <c r="S5" s="5">
        <f>'AH2700A2023-5-16'!O4</f>
        <v>-4.7916300001018728</v>
      </c>
      <c r="T5" s="5">
        <f>'AH2700A2023-5-17'!O4</f>
        <v>-4.7861199998680179</v>
      </c>
      <c r="U5" s="5">
        <f>'AH2700A2023-5-23'!O4</f>
        <v>-4.7954999999779888</v>
      </c>
      <c r="V5" s="5">
        <f>'AH2700A2023-9-29'!O4</f>
        <v>-4.729769999979557</v>
      </c>
      <c r="W5" s="5">
        <f>'AH2700A2023-10-02'!O4</f>
        <v>-4.7632999999782841</v>
      </c>
      <c r="X5" s="5">
        <f>'AH2700A2023-12-18'!O4</f>
        <v>-4.6964600001100552</v>
      </c>
      <c r="Y5" s="5">
        <f>'AH2700A2024-7-25'!O4</f>
        <v>-4.6536799999010912</v>
      </c>
      <c r="Z5" s="5"/>
      <c r="AA5" s="5"/>
      <c r="AB5" s="5"/>
      <c r="AD5" s="5">
        <f t="shared" ref="AD5:AD31" si="0">C5-B5</f>
        <v>2.7329998930625266E-2</v>
      </c>
      <c r="AE5" s="5">
        <f t="shared" ref="AE5:AE20" si="1">D5-AVERAGE(C5, B5)</f>
        <v>7.565499959838462E-2</v>
      </c>
      <c r="AF5" s="5">
        <f t="shared" ref="AF5:AF20" si="2">E5-D5</f>
        <v>-7.9759999938033843E-2</v>
      </c>
    </row>
    <row r="6" spans="1:34" x14ac:dyDescent="0.25">
      <c r="A6" t="s">
        <v>23</v>
      </c>
      <c r="B6" s="5">
        <f>'AH2700A2022-04-07'!O5</f>
        <v>-4.6426999989926019</v>
      </c>
      <c r="C6" s="5">
        <f>'AH2700A2022-04-11'!O5</f>
        <v>-4.6096699999234234</v>
      </c>
      <c r="D6" s="5">
        <f>'AH2700A2022-05-30'!O5</f>
        <v>-4.6063800009834752</v>
      </c>
      <c r="E6" s="5">
        <f>'AH2700A2022-05-31'!O5</f>
        <v>-4.6588399998839423</v>
      </c>
      <c r="F6" s="5">
        <f>'AH2700A2022-06-02'!O5</f>
        <v>-4.6278900000986853</v>
      </c>
      <c r="G6" s="5">
        <f>'AH2700A2022-06-20'!O5</f>
        <v>-4.736240000070798</v>
      </c>
      <c r="H6" s="5">
        <f>'AH2700A2022-06-21'!O5</f>
        <v>-4.6023199999814155</v>
      </c>
      <c r="I6" s="5">
        <f>'AH2700A2022-07-04'!O5</f>
        <v>-4.5855599989277538</v>
      </c>
      <c r="J6" s="5">
        <f>'AH2700A2022-07-11'!O5</f>
        <v>-4.6021400000775445</v>
      </c>
      <c r="K6" s="5">
        <f>'AH2700A2022-07-25'!O5</f>
        <v>-4.6020099990675876</v>
      </c>
      <c r="L6" s="5">
        <f>'AH2700A2022-08-01'!O5</f>
        <v>-4.5626500001407964</v>
      </c>
      <c r="M6" s="5">
        <f>'AH2700A2022-09-23'!O5</f>
        <v>-4.5960900001320768</v>
      </c>
      <c r="N6" s="5">
        <f>'AH2700A2022-10-25'!O5</f>
        <v>-4.5714900000950651</v>
      </c>
      <c r="O6" s="5">
        <f>'AH2700A2022-11-11'!O5</f>
        <v>-4.5807399999722351</v>
      </c>
      <c r="P6" s="5">
        <f>'AH2700A2023-01-16'!O5</f>
        <v>-4.5592699999721562</v>
      </c>
      <c r="Q6" s="5">
        <f>'AH2700A2023-3-28'!O5</f>
        <v>-4.5534199999322142</v>
      </c>
      <c r="R6" s="5">
        <f>'AH2700A2023-5-08'!O5</f>
        <v>-4.5296300000732446</v>
      </c>
      <c r="S6" s="5">
        <f>'AH2700A2023-5-16'!O5</f>
        <v>-4.5448300001096529</v>
      </c>
      <c r="T6" s="5">
        <f>'AH2700A2023-5-17'!O5</f>
        <v>-4.5337199999675635</v>
      </c>
      <c r="U6" s="5">
        <f>'AH2700A2023-5-23'!O5</f>
        <v>-4.539700000129284</v>
      </c>
      <c r="V6" s="5">
        <f>'AH2700A2023-9-29'!O5</f>
        <v>-4.489369999961764</v>
      </c>
      <c r="W6" s="5">
        <f>'AH2700A2023-10-02'!O5</f>
        <v>-4.5045999998896322</v>
      </c>
      <c r="X6" s="5">
        <f>'AH2700A2023-12-18'!O5</f>
        <v>-4.4838600001719984</v>
      </c>
      <c r="Y6" s="5">
        <f>'AH2700A2024-7-25'!O5</f>
        <v>-4.4141799999577644</v>
      </c>
      <c r="Z6" s="5"/>
      <c r="AA6" s="5"/>
      <c r="AB6" s="5"/>
      <c r="AD6" s="5">
        <f t="shared" si="0"/>
        <v>3.3029999069178473E-2</v>
      </c>
      <c r="AE6" s="5">
        <f t="shared" si="1"/>
        <v>1.9804998474537427E-2</v>
      </c>
      <c r="AF6" s="5">
        <f t="shared" si="2"/>
        <v>-5.2459998900467042E-2</v>
      </c>
    </row>
    <row r="7" spans="1:34" x14ac:dyDescent="0.25">
      <c r="A7" t="s">
        <v>24</v>
      </c>
      <c r="B7" s="5">
        <f>'AH2700A2022-04-07'!O6</f>
        <v>-4.2</v>
      </c>
      <c r="C7" s="5">
        <f>'AH2700A2022-04-11'!O6</f>
        <v>-4.2</v>
      </c>
      <c r="D7" s="5">
        <f>'AH2700A2022-05-30'!O6</f>
        <v>-4.2</v>
      </c>
      <c r="E7" s="5">
        <f>'AH2700A2022-05-31'!O6</f>
        <v>-4.2</v>
      </c>
      <c r="F7" s="5">
        <f>'AH2700A2022-06-02'!O6</f>
        <v>-4.2</v>
      </c>
      <c r="G7" s="5">
        <f>'AH2700A2022-06-20'!O6</f>
        <v>-4.2</v>
      </c>
      <c r="H7" s="5">
        <f>'AH2700A2022-06-21'!O6</f>
        <v>-4.2</v>
      </c>
      <c r="I7" s="5">
        <f>'AH2700A2022-07-04'!O6</f>
        <v>-4.2</v>
      </c>
      <c r="J7" s="5">
        <f>'AH2700A2022-07-11'!O6</f>
        <v>-4.2</v>
      </c>
      <c r="K7" s="5">
        <f>'AH2700A2022-07-25'!O6</f>
        <v>-4.2</v>
      </c>
      <c r="L7" s="5">
        <f>'AH2700A2022-08-01'!O6</f>
        <v>-4.2</v>
      </c>
      <c r="M7" s="5">
        <f>'AH2700A2022-09-23'!O6</f>
        <v>-4.2</v>
      </c>
      <c r="N7" s="5">
        <f>'AH2700A2022-10-25'!O6</f>
        <v>-4.2</v>
      </c>
      <c r="O7" s="5">
        <f>'AH2700A2022-11-11'!O6</f>
        <v>-4.2</v>
      </c>
      <c r="P7" s="5">
        <f>'AH2700A2023-01-16'!O6</f>
        <v>-4.2</v>
      </c>
      <c r="Q7" s="5">
        <f>'AH2700A2023-3-28'!O6</f>
        <v>-4.2</v>
      </c>
      <c r="R7" s="5">
        <f>'AH2700A2023-5-08'!O6</f>
        <v>-4.2</v>
      </c>
      <c r="S7" s="5">
        <f>'AH2700A2023-5-16'!O6</f>
        <v>-4.2</v>
      </c>
      <c r="T7" s="5">
        <f>'AH2700A2023-5-17'!O6</f>
        <v>-4.2</v>
      </c>
      <c r="U7" s="5">
        <f>'AH2700A2023-5-23'!O6</f>
        <v>-4.2</v>
      </c>
      <c r="V7" s="5">
        <f>'AH2700A2023-9-29'!O6</f>
        <v>-4.2</v>
      </c>
      <c r="W7" s="5">
        <f>'AH2700A2023-10-02'!O6</f>
        <v>-4.2</v>
      </c>
      <c r="X7" s="5">
        <f>'AH2700A2023-12-18'!O6</f>
        <v>-4.2</v>
      </c>
      <c r="Y7" s="5">
        <f>'AH2700A2024-7-25'!O6</f>
        <v>-4.2</v>
      </c>
      <c r="Z7" s="5"/>
      <c r="AA7" s="5"/>
      <c r="AB7" s="5"/>
      <c r="AD7" s="5">
        <f t="shared" si="0"/>
        <v>0</v>
      </c>
      <c r="AE7" s="5">
        <f t="shared" si="1"/>
        <v>0</v>
      </c>
      <c r="AF7" s="5">
        <f t="shared" si="2"/>
        <v>0</v>
      </c>
    </row>
    <row r="8" spans="1:34" x14ac:dyDescent="0.25">
      <c r="A8" t="s">
        <v>25</v>
      </c>
      <c r="B8" s="5">
        <f>'AH2700A2022-04-07'!O7</f>
        <v>-4.2615999989905804</v>
      </c>
      <c r="C8" s="5">
        <f>'AH2700A2022-04-11'!O7</f>
        <v>-4.2601999999849669</v>
      </c>
      <c r="D8" s="5">
        <f>'AH2700A2022-05-30'!O7</f>
        <v>-4.253599999993992</v>
      </c>
      <c r="E8" s="5">
        <f>'AH2700A2022-05-31'!O7</f>
        <v>-4.2538000001215623</v>
      </c>
      <c r="F8" s="5">
        <f>'AH2700A2022-06-02'!O7</f>
        <v>-4.2527000000305479</v>
      </c>
      <c r="G8" s="5">
        <f>'AH2700A2022-06-20'!O7</f>
        <v>-4.2498000000126455</v>
      </c>
      <c r="H8" s="5">
        <f>'AH2700A2022-06-21'!O7</f>
        <v>-4.2498000010118462</v>
      </c>
      <c r="I8" s="5">
        <f>'AH2700A2022-07-04'!O7</f>
        <v>-4.2505999998567932</v>
      </c>
      <c r="J8" s="5">
        <f>'AH2700A2022-07-11'!O7</f>
        <v>-4.2500000000291935</v>
      </c>
      <c r="K8" s="5">
        <f>'AH2700A2022-07-25'!O7</f>
        <v>-4.2560999999787983</v>
      </c>
      <c r="L8" s="5">
        <f>'AH2700A2022-08-01'!O7</f>
        <v>-4.2429000001078707</v>
      </c>
      <c r="M8" s="5">
        <f>'AH2700A2022-09-23'!O7</f>
        <v>-4.2383000000603319</v>
      </c>
      <c r="N8" s="5">
        <f>'AH2700A2022-10-25'!O7</f>
        <v>-4.2285000000266324</v>
      </c>
      <c r="O8" s="5">
        <f>'AH2700A2022-11-11'!O7</f>
        <v>-4.2252000000866561</v>
      </c>
      <c r="P8" s="5">
        <f>'AH2700A2023-01-16'!O7</f>
        <v>-4.2074000000571674</v>
      </c>
      <c r="Q8" s="5">
        <f>'AH2700A2023-3-28'!O7</f>
        <v>-4.1871999999401242</v>
      </c>
      <c r="R8" s="5">
        <f>'AH2700A2023-5-08'!O7</f>
        <v>-4.1781999998615946</v>
      </c>
      <c r="S8" s="5">
        <f>'AH2700A2023-5-16'!O7</f>
        <v>-4.1740000000691966</v>
      </c>
      <c r="T8" s="5">
        <f>'AH2700A2023-5-17'!O7</f>
        <v>-4.1735999999250781</v>
      </c>
      <c r="U8" s="5">
        <f>'AH2700A2023-5-23'!O7</f>
        <v>-4.1700999999685537</v>
      </c>
      <c r="V8" s="5">
        <f>'AH2700A2023-9-29'!O7</f>
        <v>-4.138499999907471</v>
      </c>
      <c r="W8" s="5">
        <f>'AH2700A2023-10-02'!O7</f>
        <v>-4.1322999999495922</v>
      </c>
      <c r="X8" s="5">
        <f>'AH2700A2023-12-18'!O7</f>
        <v>-4.1202999999559085</v>
      </c>
      <c r="Y8" s="5">
        <f>'AH2700A2024-7-25'!O7</f>
        <v>-4.0463000000503699</v>
      </c>
      <c r="Z8" s="5"/>
      <c r="AA8" s="5"/>
      <c r="AB8" s="5"/>
      <c r="AD8" s="5">
        <f t="shared" si="0"/>
        <v>1.3999990056134948E-3</v>
      </c>
      <c r="AE8" s="5">
        <f t="shared" si="1"/>
        <v>7.2999994937816837E-3</v>
      </c>
      <c r="AF8" s="5">
        <f t="shared" si="2"/>
        <v>-2.0000012757037666E-4</v>
      </c>
    </row>
    <row r="9" spans="1:34" x14ac:dyDescent="0.25">
      <c r="A9" t="s">
        <v>26</v>
      </c>
      <c r="B9" s="5">
        <f>'AH2700A2022-04-07'!O8</f>
        <v>-4.8507999990024162</v>
      </c>
      <c r="C9" s="5">
        <f>'AH2700A2022-04-11'!O8</f>
        <v>-4.8720699999851478</v>
      </c>
      <c r="D9" s="5">
        <f>'AH2700A2022-05-30'!O8</f>
        <v>-4.8333800000035696</v>
      </c>
      <c r="E9" s="5">
        <f>'AH2700A2022-05-31'!O8</f>
        <v>-4.896839999925203</v>
      </c>
      <c r="F9" s="5">
        <f>'AH2700A2022-06-02'!O8</f>
        <v>-4.8510900001366339</v>
      </c>
      <c r="G9" s="5">
        <f>'AH2700A2022-06-20'!O8</f>
        <v>-4.9717400000162302</v>
      </c>
      <c r="H9" s="5">
        <f>'AH2700A2022-06-21'!O8</f>
        <v>-4.8469200000136512</v>
      </c>
      <c r="I9" s="5">
        <f>'AH2700A2022-07-04'!O8</f>
        <v>-4.8615599988935019</v>
      </c>
      <c r="J9" s="5">
        <f>'AH2700A2022-07-11'!O8</f>
        <v>-4.895140000006589</v>
      </c>
      <c r="K9" s="5">
        <f>'AH2700A2022-07-25'!O8</f>
        <v>-4.901709998995881</v>
      </c>
      <c r="L9" s="5">
        <f>'AH2700A2022-08-01'!O8</f>
        <v>-4.8534500001098566</v>
      </c>
      <c r="M9" s="5">
        <f>'AH2700A2022-09-23'!O8</f>
        <v>-4.8669900001199382</v>
      </c>
      <c r="N9" s="5">
        <f>'AH2700A2022-10-25'!O8</f>
        <v>-4.8254900001279042</v>
      </c>
      <c r="O9" s="5">
        <f>'AH2700A2022-11-11'!O8</f>
        <v>-4.8184399999886738</v>
      </c>
      <c r="P9" s="5">
        <f>'AH2700A2023-01-16'!O8</f>
        <v>-4.7981700000878833</v>
      </c>
      <c r="Q9" s="5">
        <f>'AH2700A2023-3-28'!O8</f>
        <v>-4.7966199997375911</v>
      </c>
      <c r="R9" s="5">
        <f>'AH2700A2023-5-08'!O8</f>
        <v>-4.7580299999863316</v>
      </c>
      <c r="S9" s="5">
        <f>'AH2700A2023-5-16'!O8</f>
        <v>-4.7670300001758834</v>
      </c>
      <c r="T9" s="5">
        <f>'AH2700A2023-5-17'!O8</f>
        <v>-4.744819999892532</v>
      </c>
      <c r="U9" s="5">
        <f>'AH2700A2023-5-23'!O8</f>
        <v>-4.7423000000170932</v>
      </c>
      <c r="V9" s="5">
        <f>'AH2700A2023-9-29'!O8</f>
        <v>-4.689869999897863</v>
      </c>
      <c r="W9" s="5">
        <f>'AH2700A2023-10-02'!O8</f>
        <v>-4.6935999998734177</v>
      </c>
      <c r="X9" s="5">
        <f>'AH2700A2023-12-18'!O8</f>
        <v>-4.6475600000608539</v>
      </c>
      <c r="Y9" s="5">
        <f>'AH2700A2024-7-25'!O8</f>
        <v>-4.5575799999433473</v>
      </c>
      <c r="Z9" s="5"/>
      <c r="AA9" s="5"/>
      <c r="AB9" s="5"/>
      <c r="AD9" s="5">
        <f t="shared" si="0"/>
        <v>-2.1270000982731574E-2</v>
      </c>
      <c r="AE9" s="5">
        <f t="shared" si="1"/>
        <v>2.8054999490212396E-2</v>
      </c>
      <c r="AF9" s="5">
        <f t="shared" si="2"/>
        <v>-6.3459999921633425E-2</v>
      </c>
    </row>
    <row r="10" spans="1:34" x14ac:dyDescent="0.25">
      <c r="A10" t="s">
        <v>28</v>
      </c>
      <c r="B10" s="5">
        <f>'AH2700A2022-04-07'!O9</f>
        <v>-5.1200999990799376</v>
      </c>
      <c r="C10" s="5">
        <f>'AH2700A2022-04-11'!O9</f>
        <v>-5.1193700000187379</v>
      </c>
      <c r="D10" s="5">
        <f>'AH2700A2022-05-30'!O9</f>
        <v>-5.0815800000006037</v>
      </c>
      <c r="E10" s="5">
        <f>'AH2700A2022-05-31'!O9</f>
        <v>-5.1440400009497198</v>
      </c>
      <c r="F10" s="5">
        <f>'AH2700A2022-06-02'!O9</f>
        <v>-5.1176900001017787</v>
      </c>
      <c r="G10" s="5">
        <f>'AH2700A2022-06-20'!O9</f>
        <v>-5.2244400001635514</v>
      </c>
      <c r="H10" s="5">
        <f>'AH2700A2022-06-21'!O9</f>
        <v>-5.0911199999017684</v>
      </c>
      <c r="I10" s="5">
        <f>'AH2700A2022-07-04'!O9</f>
        <v>-5.1047599989209234</v>
      </c>
      <c r="J10" s="5">
        <f>'AH2700A2022-07-11'!O9</f>
        <v>-5.1413399999491647</v>
      </c>
      <c r="K10" s="5">
        <f>'AH2700A2022-07-25'!O9</f>
        <v>-5.1268099989689917</v>
      </c>
      <c r="L10" s="5">
        <f>'AH2700A2022-08-01'!O9</f>
        <v>-5.0812500000843217</v>
      </c>
      <c r="M10" s="5">
        <f>'AH2700A2022-09-23'!O9</f>
        <v>-5.0966900001405877</v>
      </c>
      <c r="N10" s="5">
        <f>'AH2700A2022-10-25'!O9</f>
        <v>-5.0592900000437</v>
      </c>
      <c r="O10" s="5">
        <f>'AH2700A2022-11-11'!O9</f>
        <v>-5.0556400000747646</v>
      </c>
      <c r="P10" s="5">
        <f>'AH2700A2023-01-16'!O9</f>
        <v>-5.0175700000334631</v>
      </c>
      <c r="Q10" s="5">
        <f>'AH2700A2023-3-28'!O9</f>
        <v>-5.0150199999334975</v>
      </c>
      <c r="R10" s="5">
        <f>'AH2700A2023-5-08'!O9</f>
        <v>-4.9826300001401167</v>
      </c>
      <c r="S10" s="5">
        <f>'AH2700A2023-5-16'!O9</f>
        <v>-4.9861300002076634</v>
      </c>
      <c r="T10" s="5">
        <f>'AH2700A2023-5-17'!O9</f>
        <v>-4.979219999857972</v>
      </c>
      <c r="U10" s="5">
        <f>'AH2700A2023-5-23'!O9</f>
        <v>-4.9705000000246544</v>
      </c>
      <c r="V10" s="5">
        <f>'AH2700A2023-9-29'!O9</f>
        <v>-4.9256699998681173</v>
      </c>
      <c r="W10" s="5">
        <f>'AH2700A2023-10-02'!O9</f>
        <v>-4.9445999998800803</v>
      </c>
      <c r="X10" s="5">
        <f>'AH2700A2023-12-18'!O9</f>
        <v>-4.8886600000255429</v>
      </c>
      <c r="Y10" s="5">
        <f>'AH2700A2024-7-25'!O9</f>
        <v>-4.787880000013641</v>
      </c>
      <c r="Z10" s="5"/>
      <c r="AA10" s="5"/>
      <c r="AB10" s="5"/>
      <c r="AD10" s="5">
        <f t="shared" si="0"/>
        <v>7.2999906119974867E-4</v>
      </c>
      <c r="AE10" s="5">
        <f t="shared" si="1"/>
        <v>3.8154999548734025E-2</v>
      </c>
      <c r="AF10" s="5">
        <f t="shared" si="2"/>
        <v>-6.2460000949116079E-2</v>
      </c>
    </row>
    <row r="11" spans="1:34" x14ac:dyDescent="0.25">
      <c r="A11" t="s">
        <v>29</v>
      </c>
      <c r="B11" s="5">
        <f>'AH2700A2022-04-07'!O10</f>
        <v>-4.61519999904871</v>
      </c>
      <c r="C11" s="5">
        <f>'AH2700A2022-04-11'!O10</f>
        <v>-4.627400000946321</v>
      </c>
      <c r="D11" s="5">
        <f>'AH2700A2022-05-30'!O10</f>
        <v>-4.6079000009982183</v>
      </c>
      <c r="E11" s="5">
        <f>'AH2700A2022-05-31'!O10</f>
        <v>-4.6076999999824695</v>
      </c>
      <c r="F11" s="5">
        <f>'AH2700A2022-06-02'!O10</f>
        <v>-4.6083000000321137</v>
      </c>
      <c r="G11" s="5">
        <f>'AH2700A2022-06-20'!O10</f>
        <v>-4.5969999999853259</v>
      </c>
      <c r="H11" s="5">
        <f>'AH2700A2022-06-21'!O10</f>
        <v>-4.5995000000811546</v>
      </c>
      <c r="I11" s="5">
        <f>'AH2700A2022-07-04'!O10</f>
        <v>-4.5942999989847708</v>
      </c>
      <c r="J11" s="5">
        <f>'AH2700A2022-07-11'!O10</f>
        <v>-4.6028000001321532</v>
      </c>
      <c r="K11" s="5">
        <f>'AH2700A2022-07-25'!O10</f>
        <v>-4.6046999990681146</v>
      </c>
      <c r="L11" s="5">
        <f>'AH2700A2022-08-01'!O10</f>
        <v>-4.5967999999687779</v>
      </c>
      <c r="M11" s="5">
        <f>'AH2700A2022-09-23'!O10</f>
        <v>-4.5892000001171072</v>
      </c>
      <c r="N11" s="5">
        <f>'AH2700A2022-10-25'!O10</f>
        <v>-4.5777000009419497</v>
      </c>
      <c r="O11" s="5">
        <f>'AH2700A2022-11-11'!O10</f>
        <v>-4.5816000000433919</v>
      </c>
      <c r="P11" s="5">
        <f>'AH2700A2023-01-16'!O10</f>
        <v>-4.562600000025637</v>
      </c>
      <c r="Q11" s="5">
        <f>'AH2700A2023-3-28'!O10</f>
        <v>-4.5332000000355608</v>
      </c>
      <c r="R11" s="5">
        <f>'AH2700A2023-5-08'!O10</f>
        <v>-4.5194000000039667</v>
      </c>
      <c r="S11" s="5">
        <f>'AH2700A2023-5-16'!O10</f>
        <v>-4.5147000001701985</v>
      </c>
      <c r="T11" s="5">
        <f>'AH2700A2023-5-17'!O10</f>
        <v>-4.513400000062636</v>
      </c>
      <c r="U11" s="5">
        <f>'AH2700A2023-5-23'!O10</f>
        <v>-4.5109999999750814</v>
      </c>
      <c r="V11" s="5">
        <f>'AH2700A2023-9-29'!O10</f>
        <v>-4.4712999999099354</v>
      </c>
      <c r="W11" s="5">
        <f>'AH2700A2023-10-02'!O10</f>
        <v>-4.4633999999224203</v>
      </c>
      <c r="X11" s="5">
        <f>'AH2700A2023-12-18'!O10</f>
        <v>-4.4412999999812373</v>
      </c>
      <c r="Y11" s="5">
        <f>'AH2700A2024-7-25'!O10</f>
        <v>-4.3421999999973169</v>
      </c>
      <c r="Z11" s="5"/>
      <c r="AA11" s="5"/>
      <c r="AB11" s="5"/>
      <c r="AD11" s="5">
        <f t="shared" si="0"/>
        <v>-1.2200001897610946E-2</v>
      </c>
      <c r="AE11" s="5">
        <f t="shared" si="1"/>
        <v>1.3399998999297225E-2</v>
      </c>
      <c r="AF11" s="5">
        <f t="shared" si="2"/>
        <v>2.0000101574879636E-4</v>
      </c>
    </row>
    <row r="12" spans="1:34" x14ac:dyDescent="0.25">
      <c r="A12" t="s">
        <v>30</v>
      </c>
      <c r="B12" s="5">
        <f>'AH2700A2022-04-07'!O11</f>
        <v>-3.7731999989923013</v>
      </c>
      <c r="C12" s="5">
        <f>'AH2700A2022-04-11'!O11</f>
        <v>-3.8127000000400999</v>
      </c>
      <c r="D12" s="5">
        <f>'AH2700A2022-05-30'!O11</f>
        <v>-3.8610000000396569</v>
      </c>
      <c r="E12" s="5">
        <f>'AH2700A2022-05-31'!O11</f>
        <v>-3.8489000000376992</v>
      </c>
      <c r="F12" s="5">
        <f>'AH2700A2022-06-02'!O11</f>
        <v>-3.8453000000729007</v>
      </c>
      <c r="G12" s="5">
        <f>'AH2700A2022-06-20'!O11</f>
        <v>-3.8346000010749579</v>
      </c>
      <c r="H12" s="5">
        <f>'AH2700A2022-06-21'!O11</f>
        <v>-3.8377000009983862</v>
      </c>
      <c r="I12" s="5">
        <f>'AH2700A2022-07-04'!O11</f>
        <v>-3.8401999988737687</v>
      </c>
      <c r="J12" s="5">
        <f>'AH2700A2022-07-11'!O11</f>
        <v>-3.8451000010555534</v>
      </c>
      <c r="K12" s="5">
        <f>'AH2700A2022-07-25'!O11</f>
        <v>-3.852899999036393</v>
      </c>
      <c r="L12" s="5">
        <f>'AH2700A2022-08-01'!O11</f>
        <v>-3.8426000009597248</v>
      </c>
      <c r="M12" s="5">
        <f>'AH2700A2022-09-23'!O11</f>
        <v>-3.8151000000166322</v>
      </c>
      <c r="N12" s="5">
        <f>'AH2700A2022-10-25'!O11</f>
        <v>-3.7945000009767158</v>
      </c>
      <c r="O12" s="5">
        <f>'AH2700A2022-11-11'!O11</f>
        <v>-3.7936999999113228</v>
      </c>
      <c r="P12" s="5">
        <f>'AH2700A2023-01-16'!O11</f>
        <v>-3.7352999999642664</v>
      </c>
      <c r="Q12" s="5">
        <f>'AH2700A2023-3-28'!O11</f>
        <v>-3.6940000008769589</v>
      </c>
      <c r="R12" s="5">
        <f>'AH2700A2023-5-08'!O11</f>
        <v>-3.649699999987118</v>
      </c>
      <c r="S12" s="5">
        <f>'AH2700A2023-5-16'!O11</f>
        <v>-3.6834000001109333</v>
      </c>
      <c r="T12" s="5">
        <f>'AH2700A2023-5-17'!O11</f>
        <v>-3.6920000000453443</v>
      </c>
      <c r="U12" s="5">
        <f>'AH2700A2023-5-23'!O11</f>
        <v>-3.6873999999978055</v>
      </c>
      <c r="V12" s="5">
        <f>'AH2700A2023-9-29'!O11</f>
        <v>-3.651199999889184</v>
      </c>
      <c r="W12" s="5">
        <f>'AH2700A2023-10-02'!O11</f>
        <v>-3.6401999999782406</v>
      </c>
      <c r="X12" s="5">
        <f>'AH2700A2023-12-18'!O11</f>
        <v>-3.5417000000439645</v>
      </c>
      <c r="Y12" s="5">
        <f>'AH2700A2024-7-25'!O11</f>
        <v>-3.5162999999407605</v>
      </c>
      <c r="Z12" s="5"/>
      <c r="AA12" s="5"/>
      <c r="AB12" s="5"/>
      <c r="AD12" s="5">
        <f t="shared" si="0"/>
        <v>-3.9500001047798605E-2</v>
      </c>
      <c r="AE12" s="5">
        <f t="shared" si="1"/>
        <v>-6.8050000523456333E-2</v>
      </c>
      <c r="AF12" s="5">
        <f t="shared" si="2"/>
        <v>1.2100000001957767E-2</v>
      </c>
    </row>
    <row r="13" spans="1:34" x14ac:dyDescent="0.25">
      <c r="A13" t="s">
        <v>31</v>
      </c>
      <c r="B13" s="5">
        <f>'AH2700A2022-04-07'!O12</f>
        <v>25.004199990862102</v>
      </c>
      <c r="C13" s="5">
        <f>'AH2700A2022-04-11'!O12</f>
        <v>24.948329990125178</v>
      </c>
      <c r="D13" s="5">
        <f>'AH2700A2022-05-30'!O12</f>
        <v>4.5719199999281015</v>
      </c>
      <c r="E13" s="5">
        <f>'AH2700A2022-05-31'!O12</f>
        <v>18.600260000122031</v>
      </c>
      <c r="F13" s="5">
        <f>'AH2700A2022-06-02'!O12</f>
        <v>18.942109999874095</v>
      </c>
      <c r="G13" s="5">
        <f>'AH2700A2022-06-20'!O12</f>
        <v>18.057759999977367</v>
      </c>
      <c r="H13" s="5">
        <f>'AH2700A2022-06-21'!O12</f>
        <v>18.15848000020635</v>
      </c>
      <c r="I13" s="5">
        <f>'AH2700A2022-07-04'!O12</f>
        <v>17.882040001092374</v>
      </c>
      <c r="J13" s="5">
        <f>'AH2700A2022-07-11'!O12</f>
        <v>17.885959999973426</v>
      </c>
      <c r="K13" s="5">
        <f>'AH2700A2022-07-25'!O12</f>
        <v>17.755390000827358</v>
      </c>
      <c r="L13" s="5">
        <f>'AH2700A2022-08-01'!O12</f>
        <v>17.871649989796605</v>
      </c>
      <c r="M13" s="5">
        <f>'AH2700A2022-09-23'!O12</f>
        <v>16.705009999849789</v>
      </c>
      <c r="N13" s="5">
        <f>'AH2700A2022-10-25'!O12</f>
        <v>16.643109989954201</v>
      </c>
      <c r="O13" s="5">
        <f>'AH2700A2022-11-11'!O12</f>
        <v>22.886059999903434</v>
      </c>
      <c r="P13" s="5">
        <f>'AH2700A2023-01-16'!O12</f>
        <v>17.596329999879128</v>
      </c>
      <c r="Q13" s="5">
        <f>'AH2700A2023-3-28'!O12</f>
        <v>18.118080000194308</v>
      </c>
      <c r="R13" s="5">
        <f>'AH2700A2023-5-08'!O12</f>
        <v>17.638670000051686</v>
      </c>
      <c r="S13" s="5">
        <f>'AH2700A2023-5-16'!O12</f>
        <v>17.526069999727927</v>
      </c>
      <c r="T13" s="5">
        <f>'AH2700A2023-5-17'!O12</f>
        <v>17.438480000141237</v>
      </c>
      <c r="U13" s="5">
        <f>'AH2700A2023-5-23'!O12</f>
        <v>17.389699999990942</v>
      </c>
      <c r="V13" s="5">
        <f>'AH2700A2023-9-29'!O12</f>
        <v>17.716530000054558</v>
      </c>
      <c r="W13" s="5">
        <f>'AH2700A2023-10-02'!O12</f>
        <v>17.34799999998236</v>
      </c>
      <c r="X13" s="5">
        <f>'AH2700A2023-12-18'!O12</f>
        <v>16.250939999805407</v>
      </c>
      <c r="Y13" s="5">
        <f>'AH2700A2024-7-25'!O12</f>
        <v>16.133120000048944</v>
      </c>
      <c r="Z13" s="5"/>
      <c r="AA13" s="5"/>
      <c r="AB13" s="5"/>
      <c r="AD13" s="5">
        <f t="shared" si="0"/>
        <v>-5.5870000736923942E-2</v>
      </c>
      <c r="AE13" s="5">
        <f t="shared" si="1"/>
        <v>-20.404344990565537</v>
      </c>
      <c r="AF13" s="5">
        <f t="shared" si="2"/>
        <v>14.028340000193928</v>
      </c>
      <c r="AG13" s="7">
        <f>AE13/AE$2</f>
        <v>4.6928116353646603</v>
      </c>
      <c r="AH13" s="7">
        <f>AF13/AF$2</f>
        <v>4.9084464661280354</v>
      </c>
    </row>
    <row r="14" spans="1:34" x14ac:dyDescent="0.25">
      <c r="A14" t="s">
        <v>33</v>
      </c>
      <c r="B14" s="5">
        <f>'AH2700A2022-04-07'!O13</f>
        <v>41.55860000100018</v>
      </c>
      <c r="C14" s="5">
        <f>'AH2700A2022-04-11'!O13</f>
        <v>41.520499999957195</v>
      </c>
      <c r="D14" s="5">
        <f>'AH2700A2022-05-30'!O13</f>
        <v>31.864499999932665</v>
      </c>
      <c r="E14" s="5">
        <f>'AH2700A2022-05-31'!O13</f>
        <v>38.491199999889126</v>
      </c>
      <c r="F14" s="5">
        <f>'AH2700A2022-06-02'!O13</f>
        <v>38.625599999796179</v>
      </c>
      <c r="G14" s="5">
        <f>'AH2700A2022-06-20'!O13</f>
        <v>38.552599999973381</v>
      </c>
      <c r="H14" s="5">
        <f>'AH2700A2022-06-21'!O13</f>
        <v>38.554300000003018</v>
      </c>
      <c r="I14" s="5">
        <f>'AH2700A2022-07-04'!O13</f>
        <v>38.555300000973936</v>
      </c>
      <c r="J14" s="5">
        <f>'AH2700A2022-07-11'!O13</f>
        <v>38.58229999998828</v>
      </c>
      <c r="K14" s="5">
        <f>'AH2700A2022-07-25'!O13</f>
        <v>38.605300001114152</v>
      </c>
      <c r="L14" s="5">
        <f>'AH2700A2022-08-01'!O13</f>
        <v>38.628799999949926</v>
      </c>
      <c r="M14" s="5">
        <f>'AH2700A2022-09-23'!O13</f>
        <v>38.247899999964453</v>
      </c>
      <c r="N14" s="5">
        <f>'AH2700A2022-10-25'!O13</f>
        <v>38.235699999954221</v>
      </c>
      <c r="O14" s="5">
        <f>'AH2700A2022-11-11'!O13</f>
        <v>41.074200000000594</v>
      </c>
      <c r="P14" s="5">
        <f>'AH2700A2023-01-16'!O13</f>
        <v>38.420900000067682</v>
      </c>
      <c r="Q14" s="5">
        <f>'AH2700A2023-3-28'!O13</f>
        <v>38.579799999892451</v>
      </c>
      <c r="R14" s="5">
        <f>'AH2700A2023-5-08'!O13</f>
        <v>38.545399999932762</v>
      </c>
      <c r="S14" s="5">
        <f>'AH2700A2023-5-16'!O13</f>
        <v>38.542999999845208</v>
      </c>
      <c r="T14" s="5">
        <f>'AH2700A2023-5-17'!O13</f>
        <v>38.548099999934117</v>
      </c>
      <c r="U14" s="5">
        <f>'AH2700A2023-5-23'!O13</f>
        <v>38.587900000007537</v>
      </c>
      <c r="V14" s="5">
        <f>'AH2700A2023-9-29'!O13</f>
        <v>39.123500000025381</v>
      </c>
      <c r="W14" s="5">
        <f>'AH2700A2023-10-02'!O13</f>
        <v>39.03600000011307</v>
      </c>
      <c r="X14" s="5">
        <f>'AH2700A2023-12-18'!O13</f>
        <v>38.526599999931555</v>
      </c>
      <c r="Y14" s="5">
        <f>'AH2700A2024-7-25'!O13</f>
        <v>38.784499999954015</v>
      </c>
      <c r="Z14" s="5"/>
      <c r="AA14" s="5"/>
      <c r="AB14" s="5"/>
      <c r="AD14" s="5">
        <f t="shared" si="0"/>
        <v>-3.8100001042984388E-2</v>
      </c>
      <c r="AE14" s="5">
        <f t="shared" si="1"/>
        <v>-9.6750500005460189</v>
      </c>
      <c r="AF14" s="5">
        <f t="shared" si="2"/>
        <v>6.6266999999564611</v>
      </c>
      <c r="AG14" s="7">
        <f t="shared" ref="AG14:AH16" si="3">AE14/AE$2</f>
        <v>2.2251724932258559</v>
      </c>
      <c r="AH14" s="7">
        <f t="shared" si="3"/>
        <v>2.3186494051632121</v>
      </c>
    </row>
    <row r="15" spans="1:34" x14ac:dyDescent="0.25">
      <c r="A15" t="s">
        <v>34</v>
      </c>
      <c r="B15" s="5">
        <f>'AH2700A2022-04-07'!O14</f>
        <v>31.941239990850061</v>
      </c>
      <c r="C15" s="5">
        <f>'AH2700A2022-04-11'!O14</f>
        <v>31.889716999976319</v>
      </c>
      <c r="D15" s="5">
        <f>'AH2700A2022-05-30'!O14</f>
        <v>25.808258000036037</v>
      </c>
      <c r="E15" s="5">
        <f>'AH2700A2022-05-31'!O14</f>
        <v>30.014393990095183</v>
      </c>
      <c r="F15" s="5">
        <f>'AH2700A2022-06-02'!O14</f>
        <v>30.151448989777823</v>
      </c>
      <c r="G15" s="5">
        <f>'AH2700A2022-06-20'!O14</f>
        <v>30.310883999860909</v>
      </c>
      <c r="H15" s="5">
        <f>'AH2700A2022-06-21'!O14</f>
        <v>30.277181989900352</v>
      </c>
      <c r="I15" s="5">
        <f>'AH2700A2022-07-04'!O14</f>
        <v>30.378526001083355</v>
      </c>
      <c r="J15" s="5">
        <f>'AH2700A2022-07-11'!O14</f>
        <v>30.454633999986473</v>
      </c>
      <c r="K15" s="5">
        <f>'AH2700A2022-07-25'!O14</f>
        <v>30.471291000987204</v>
      </c>
      <c r="L15" s="5">
        <f>'AH2700A2022-08-01'!O14</f>
        <v>30.486314989929024</v>
      </c>
      <c r="M15" s="5">
        <f>'AH2700A2022-09-23'!O14</f>
        <v>30.201188999999555</v>
      </c>
      <c r="N15" s="5">
        <f>'AH2700A2022-10-25'!O14</f>
        <v>30.225358999889966</v>
      </c>
      <c r="O15" s="5">
        <f>'AH2700A2022-11-11'!O14</f>
        <v>31.793813989887436</v>
      </c>
      <c r="P15" s="5">
        <f>'AH2700A2023-01-16'!O14</f>
        <v>29.850756999914889</v>
      </c>
      <c r="Q15" s="5">
        <f>'AH2700A2023-3-28'!O14</f>
        <v>29.927972000086438</v>
      </c>
      <c r="R15" s="5">
        <f>'AH2700A2023-5-08'!O14</f>
        <v>29.949472999955855</v>
      </c>
      <c r="S15" s="5">
        <f>'AH2700A2023-5-16'!O14</f>
        <v>29.927892999835652</v>
      </c>
      <c r="T15" s="5">
        <f>'AH2700A2023-5-17'!O14</f>
        <v>29.912462000135402</v>
      </c>
      <c r="U15" s="5">
        <f>'AH2700A2023-5-23'!O14</f>
        <v>29.898820000050268</v>
      </c>
      <c r="V15" s="5">
        <f>'AH2700A2023-9-29'!O14</f>
        <v>30.372096999974101</v>
      </c>
      <c r="W15" s="5">
        <f>'AH2700A2023-10-02'!O14</f>
        <v>30.244100000086132</v>
      </c>
      <c r="X15" s="5">
        <f>'AH2700A2023-12-18'!O14</f>
        <v>29.781465999866068</v>
      </c>
      <c r="Y15" s="5">
        <f>'AH2700A2024-7-25'!O14</f>
        <v>30.154438000039345</v>
      </c>
      <c r="Z15" s="5"/>
      <c r="AA15" s="5"/>
      <c r="AB15" s="5"/>
      <c r="AD15" s="5">
        <f t="shared" si="0"/>
        <v>-5.1522990873742458E-2</v>
      </c>
      <c r="AE15" s="5">
        <f t="shared" si="1"/>
        <v>-6.1072204953771525</v>
      </c>
      <c r="AF15" s="5">
        <f t="shared" si="2"/>
        <v>4.2061359900591455</v>
      </c>
      <c r="AG15" s="7">
        <f t="shared" si="3"/>
        <v>1.4046045297555552</v>
      </c>
      <c r="AH15" s="7">
        <f t="shared" si="3"/>
        <v>1.4717060846952921</v>
      </c>
    </row>
    <row r="16" spans="1:34" x14ac:dyDescent="0.25">
      <c r="A16" t="s">
        <v>35</v>
      </c>
      <c r="B16" s="5">
        <f>'AH2700A2022-04-07'!O15</f>
        <v>16.14124000094284</v>
      </c>
      <c r="C16" s="5">
        <f>'AH2700A2022-04-11'!O15</f>
        <v>16.104716989993921</v>
      </c>
      <c r="D16" s="5">
        <f>'AH2700A2022-05-30'!O15</f>
        <v>9.6782579999219287</v>
      </c>
      <c r="E16" s="5">
        <f>'AH2700A2022-05-31'!O15</f>
        <v>13.080393990071197</v>
      </c>
      <c r="F16" s="5">
        <f>'AH2700A2022-06-02'!O15</f>
        <v>14.013448999881977</v>
      </c>
      <c r="G16" s="5">
        <f>'AH2700A2022-06-20'!O15</f>
        <v>14.098883989853466</v>
      </c>
      <c r="H16" s="5">
        <f>'AH2700A2022-06-21'!O15</f>
        <v>14.055181999937698</v>
      </c>
      <c r="I16" s="5">
        <f>'AH2700A2022-07-04'!O15</f>
        <v>14.156525990914641</v>
      </c>
      <c r="J16" s="5">
        <f>'AH2700A2022-07-11'!O15</f>
        <v>14.211633990078614</v>
      </c>
      <c r="K16" s="5">
        <f>'AH2700A2022-07-25'!O15</f>
        <v>14.221291000936258</v>
      </c>
      <c r="L16" s="5">
        <f>'AH2700A2022-08-01'!O15</f>
        <v>14.230314989825725</v>
      </c>
      <c r="M16" s="22">
        <f>'AH2700A2022-09-23'!O15</f>
        <v>4.647188999960842</v>
      </c>
      <c r="N16" s="22">
        <f>'AH2700A2022-10-25'!O15</f>
        <v>2.628359000010664</v>
      </c>
      <c r="O16" s="22">
        <f>'AH2700A2022-11-11'!O15</f>
        <v>3.6688139998339677</v>
      </c>
      <c r="P16" s="5">
        <f>'AH2700A2023-01-16'!O15</f>
        <v>13.465757000018268</v>
      </c>
      <c r="Q16" s="5">
        <f>'AH2700A2023-3-28'!O15</f>
        <v>14.02597199019338</v>
      </c>
      <c r="R16" s="5">
        <f>'AH2700A2023-5-08'!O15</f>
        <v>14.038472999976275</v>
      </c>
      <c r="S16" s="5">
        <f>'AH2700A2023-5-16'!O15</f>
        <v>13.994892999812141</v>
      </c>
      <c r="T16" s="5">
        <f>'AH2700A2023-5-17'!O15</f>
        <v>13.810462000117578</v>
      </c>
      <c r="U16" s="5">
        <f>'AH2700A2023-5-23'!O15</f>
        <v>0.83182000000101919</v>
      </c>
      <c r="V16" s="5">
        <f>'AH2700A2023-9-29'!O15</f>
        <v>3.9780969999334372</v>
      </c>
      <c r="W16" s="5">
        <f>'AH2700A2023-10-02'!O15</f>
        <v>10.462100000006895</v>
      </c>
      <c r="X16" s="5">
        <f>'AH2700A2023-12-18'!O15</f>
        <v>1.2774659999923257</v>
      </c>
      <c r="Y16" s="5">
        <f>'AH2700A2024-7-25'!O15</f>
        <v>-2.4396620000768552</v>
      </c>
      <c r="Z16" s="5"/>
      <c r="AA16" s="5"/>
      <c r="AB16" s="5"/>
      <c r="AD16" s="5">
        <f t="shared" si="0"/>
        <v>-3.6523010948918966E-2</v>
      </c>
      <c r="AE16" s="5">
        <f t="shared" si="1"/>
        <v>-6.4447204955464521</v>
      </c>
      <c r="AF16" s="5">
        <f t="shared" si="2"/>
        <v>3.4021359901492687</v>
      </c>
      <c r="AG16" s="7">
        <f t="shared" si="3"/>
        <v>1.4822264249186876</v>
      </c>
      <c r="AH16" s="7">
        <f t="shared" si="3"/>
        <v>1.1903904794084212</v>
      </c>
    </row>
    <row r="17" spans="1:34" x14ac:dyDescent="0.25">
      <c r="A17" t="s">
        <v>36</v>
      </c>
      <c r="B17" s="5">
        <f>'AH2700A2022-04-07'!O16</f>
        <v>-12.983199999196078</v>
      </c>
      <c r="C17" s="5">
        <f>'AH2700A2022-04-11'!O16</f>
        <v>-12.923370000018881</v>
      </c>
      <c r="D17" s="5">
        <f>'AH2700A2022-05-30'!O16</f>
        <v>-19.017280000190002</v>
      </c>
      <c r="E17" s="5">
        <f>'AH2700A2022-05-31'!O16</f>
        <v>-14.511740000212843</v>
      </c>
      <c r="F17" s="5">
        <f>'AH2700A2022-06-02'!O16</f>
        <v>-13.067790000088859</v>
      </c>
      <c r="G17" s="5">
        <f>'AH2700A2022-06-20'!O16</f>
        <v>-12.1226400020449</v>
      </c>
      <c r="H17" s="5">
        <f>'AH2700A2022-06-21'!O16</f>
        <v>-11.891920000052476</v>
      </c>
      <c r="I17" s="5">
        <f>'AH2700A2022-07-04'!O16</f>
        <v>-11.323359999083866</v>
      </c>
      <c r="J17" s="5">
        <f>'AH2700A2022-07-11'!O16</f>
        <v>-11.565840002160339</v>
      </c>
      <c r="K17" s="5">
        <f>'AH2700A2022-07-25'!O16</f>
        <v>-11.472309999084569</v>
      </c>
      <c r="L17" s="5">
        <f>'AH2700A2022-08-01'!O16</f>
        <v>-11.337649999933159</v>
      </c>
      <c r="M17" s="5">
        <f>'AH2700A2022-09-23'!O16</f>
        <v>-11.369689999919625</v>
      </c>
      <c r="N17" s="5">
        <f>'AH2700A2022-10-25'!O16</f>
        <v>-11.256589999998585</v>
      </c>
      <c r="O17" s="5">
        <f>'AH2700A2022-11-11'!O16</f>
        <v>-8.519140000097476</v>
      </c>
      <c r="P17" s="5">
        <f>'AH2700A2023-01-16'!O16</f>
        <v>-11.545970000072199</v>
      </c>
      <c r="Q17" s="5">
        <f>'AH2700A2023-3-28'!O16</f>
        <v>-11.450720000073762</v>
      </c>
      <c r="R17" s="5">
        <f>'AH2700A2023-5-08'!O16</f>
        <v>-11.503830000027211</v>
      </c>
      <c r="S17" s="5">
        <f>'AH2700A2023-5-16'!O16</f>
        <v>-11.581830000041666</v>
      </c>
      <c r="T17" s="5">
        <f>'AH2700A2023-5-17'!O16</f>
        <v>-11.604520000031666</v>
      </c>
      <c r="U17" s="5">
        <f>'AH2700A2023-5-23'!O16</f>
        <v>-11.18330000004077</v>
      </c>
      <c r="V17" s="5">
        <f>'AH2700A2023-9-29'!O16</f>
        <v>-11.638969999995492</v>
      </c>
      <c r="W17" s="5">
        <f>'AH2700A2023-10-02'!O16</f>
        <v>-11.727399999762707</v>
      </c>
      <c r="X17" s="5">
        <f>'AH2700A2023-12-18'!O16</f>
        <v>-12.225460000116168</v>
      </c>
      <c r="Y17" s="5">
        <f>'AH2700A2024-7-25'!O16</f>
        <v>-12.044079999985708</v>
      </c>
      <c r="Z17" s="5"/>
      <c r="AA17" s="5"/>
      <c r="AB17" s="5"/>
      <c r="AD17" s="5">
        <f t="shared" si="0"/>
        <v>5.9829999177196669E-2</v>
      </c>
      <c r="AE17" s="5">
        <f t="shared" si="1"/>
        <v>-6.0639950005825227</v>
      </c>
      <c r="AF17" s="5">
        <f t="shared" si="2"/>
        <v>4.5055399999771595</v>
      </c>
      <c r="AG17" s="7">
        <f>AE17/AE$1</f>
        <v>3.6975579271844636</v>
      </c>
      <c r="AH17" s="7">
        <f>AF17/AF$1</f>
        <v>2.2482734530824176</v>
      </c>
    </row>
    <row r="18" spans="1:34" x14ac:dyDescent="0.25">
      <c r="A18" t="s">
        <v>38</v>
      </c>
      <c r="B18" s="5">
        <f>'AH2700A2022-04-07'!O17</f>
        <v>16.797400000832834</v>
      </c>
      <c r="C18" s="5">
        <f>'AH2700A2022-04-11'!O17</f>
        <v>16.910030000048852</v>
      </c>
      <c r="D18" s="5">
        <f>'AH2700A2022-05-30'!O17</f>
        <v>12.236919997753208</v>
      </c>
      <c r="E18" s="5">
        <f>'AH2700A2022-05-31'!O17</f>
        <v>15.723060000093252</v>
      </c>
      <c r="F18" s="5">
        <f>'AH2700A2022-06-02'!O17</f>
        <v>16.670610000001123</v>
      </c>
      <c r="G18" s="5">
        <f>'AH2700A2022-06-20'!O17</f>
        <v>17.354960000003121</v>
      </c>
      <c r="H18" s="5">
        <f>'AH2700A2022-06-21'!O17</f>
        <v>17.603879997839282</v>
      </c>
      <c r="I18" s="5">
        <f>'AH2700A2022-07-04'!O17</f>
        <v>17.839640001136896</v>
      </c>
      <c r="J18" s="5">
        <f>'AH2700A2022-07-11'!O17</f>
        <v>18.034759999850696</v>
      </c>
      <c r="K18" s="5">
        <f>'AH2700A2022-07-25'!O17</f>
        <v>18.018490001058023</v>
      </c>
      <c r="L18" s="5">
        <f>'AH2700A2022-08-01'!O17</f>
        <v>18.168149999896226</v>
      </c>
      <c r="M18" s="5">
        <f>'AH2700A2022-09-23'!O17</f>
        <v>18.247510000023208</v>
      </c>
      <c r="N18" s="5">
        <f>'AH2700A2022-10-25'!O17</f>
        <v>18.357609999918072</v>
      </c>
      <c r="O18" s="5">
        <f>'AH2700A2022-11-11'!O17</f>
        <v>20.405460000048929</v>
      </c>
      <c r="P18" s="5">
        <f>'AH2700A2023-01-16'!O17</f>
        <v>18.60222999984094</v>
      </c>
      <c r="Q18" s="5">
        <f>'AH2700A2023-3-28'!O17</f>
        <v>18.764879999975985</v>
      </c>
      <c r="R18" s="5">
        <f>'AH2700A2023-5-08'!O17</f>
        <v>18.816170000000891</v>
      </c>
      <c r="S18" s="5">
        <f>'AH2700A2023-5-16'!O17</f>
        <v>18.582569999879599</v>
      </c>
      <c r="T18" s="5">
        <f>'AH2700A2023-5-17'!O17</f>
        <v>18.76967999992905</v>
      </c>
      <c r="U18" s="5">
        <f>'AH2700A2023-5-23'!O17</f>
        <v>18.61270000015212</v>
      </c>
      <c r="V18" s="5">
        <f>'AH2700A2023-9-29'!O17</f>
        <v>19.071629999821464</v>
      </c>
      <c r="W18" s="5">
        <f>'AH2700A2023-10-02'!O17</f>
        <v>18.955600000213106</v>
      </c>
      <c r="X18" s="5">
        <f>'AH2700A2023-12-18'!O17</f>
        <v>18.409939999918006</v>
      </c>
      <c r="Y18" s="5">
        <f>'AH2700A2024-7-25'!O17</f>
        <v>19.322719999946596</v>
      </c>
      <c r="Z18" s="5"/>
      <c r="AA18" s="5"/>
      <c r="AB18" s="5"/>
      <c r="AD18" s="5">
        <f t="shared" si="0"/>
        <v>0.11262999921601846</v>
      </c>
      <c r="AE18" s="5">
        <f t="shared" si="1"/>
        <v>-4.6167950026876348</v>
      </c>
      <c r="AF18" s="5">
        <f t="shared" si="2"/>
        <v>3.4861400023400435</v>
      </c>
      <c r="AG18" s="7">
        <f t="shared" ref="AG18:AG19" si="4">AE18/AE$1</f>
        <v>2.8151189040778251</v>
      </c>
      <c r="AH18" s="7">
        <f t="shared" ref="AH18:AH19" si="5">AF18/AF$1</f>
        <v>1.7395908195309617</v>
      </c>
    </row>
    <row r="19" spans="1:34" x14ac:dyDescent="0.25">
      <c r="A19" t="s">
        <v>40</v>
      </c>
      <c r="B19" s="5">
        <f>'AH2700A2022-04-07'!O18</f>
        <v>98.922200000860258</v>
      </c>
      <c r="C19" s="5">
        <f>'AH2700A2022-04-11'!O18</f>
        <v>98.934630000001334</v>
      </c>
      <c r="D19" s="5">
        <f>'AH2700A2022-05-30'!O18</f>
        <v>90.583119997998708</v>
      </c>
      <c r="E19" s="5">
        <f>'AH2700A2022-05-31'!O18</f>
        <v>95.131859999884924</v>
      </c>
      <c r="F19" s="5">
        <f>'AH2700A2022-06-02'!O18</f>
        <v>97.977209999831928</v>
      </c>
      <c r="G19" s="5">
        <f>'AH2700A2022-06-20'!O18</f>
        <v>95.787359999831324</v>
      </c>
      <c r="H19" s="5">
        <f>'AH2700A2022-06-21'!O18</f>
        <v>98.237279999922919</v>
      </c>
      <c r="I19" s="5">
        <f>'AH2700A2022-07-04'!O18</f>
        <v>101.4764400010346</v>
      </c>
      <c r="J19" s="5">
        <f>'AH2700A2022-07-11'!O18</f>
        <v>100.10055999988141</v>
      </c>
      <c r="K19" s="5">
        <f>'AH2700A2022-07-25'!O18</f>
        <v>101.01329000090507</v>
      </c>
      <c r="L19" s="5">
        <f>'AH2700A2022-08-01'!O18</f>
        <v>101.40114999991211</v>
      </c>
      <c r="M19" s="5">
        <f>'AH2700A2022-09-23'!O18</f>
        <v>100.8491099999773</v>
      </c>
      <c r="N19" s="5">
        <f>'AH2700A2022-10-25'!O18</f>
        <v>101.14220999991461</v>
      </c>
      <c r="O19" s="5">
        <f>'AH2700A2022-11-11'!O18</f>
        <v>104.82465999984568</v>
      </c>
      <c r="P19" s="5">
        <f>'AH2700A2023-01-16'!O18</f>
        <v>101.21662999996593</v>
      </c>
      <c r="Q19" s="5">
        <f>'AH2700A2023-3-28'!O18</f>
        <v>102.1038799981042</v>
      </c>
      <c r="R19" s="5">
        <f>'AH2700A2023-5-08'!O18</f>
        <v>102.16737000002672</v>
      </c>
      <c r="S19" s="5">
        <f>'AH2700A2023-5-16'!O18</f>
        <v>102.13176999985672</v>
      </c>
      <c r="T19" s="5">
        <f>'AH2700A2023-5-17'!O18</f>
        <v>101.46827999991535</v>
      </c>
      <c r="U19" s="5">
        <f>'AH2700A2023-5-23'!O18</f>
        <v>101.69870000021761</v>
      </c>
      <c r="V19" s="5">
        <f>'AH2700A2023-9-29'!O18</f>
        <v>103.61482999988601</v>
      </c>
      <c r="W19" s="5">
        <f>'AH2700A2023-10-02'!O18</f>
        <v>101.19100000006574</v>
      </c>
      <c r="X19" s="5">
        <f>'AH2700A2023-12-18'!O18</f>
        <v>98.955339999827515</v>
      </c>
      <c r="Y19" s="5">
        <f>'AH2700A2024-7-25'!O18</f>
        <v>101.54131999996351</v>
      </c>
      <c r="Z19" s="5"/>
      <c r="AA19" s="5"/>
      <c r="AB19" s="5"/>
      <c r="AD19" s="5">
        <f t="shared" si="0"/>
        <v>1.2429999141076564E-2</v>
      </c>
      <c r="AE19" s="5">
        <f t="shared" si="1"/>
        <v>-8.3452950024320813</v>
      </c>
      <c r="AF19" s="5">
        <f t="shared" si="2"/>
        <v>4.5487400018862161</v>
      </c>
      <c r="AG19" s="7">
        <f t="shared" si="4"/>
        <v>5.088594513678097</v>
      </c>
      <c r="AH19" s="7">
        <f t="shared" si="5"/>
        <v>2.2698303402625855</v>
      </c>
    </row>
    <row r="20" spans="1:34" x14ac:dyDescent="0.25">
      <c r="A20" t="s">
        <v>42</v>
      </c>
      <c r="B20" s="5">
        <f>'AH2700A2022-04-07'!O19</f>
        <v>164.04424000094761</v>
      </c>
      <c r="C20" s="5">
        <f>'AH2700A2022-04-11'!O19</f>
        <v>165.06371698988698</v>
      </c>
      <c r="D20" s="5">
        <f>'AH2700A2022-05-30'!O19</f>
        <v>147.40925799007076</v>
      </c>
      <c r="E20" s="5">
        <f>'AH2700A2022-05-31'!O19</f>
        <v>145.96639399989542</v>
      </c>
      <c r="F20" s="5">
        <f>'AH2700A2022-06-02'!O19</f>
        <v>141.97544898998248</v>
      </c>
      <c r="G20" s="5">
        <f>'AH2700A2022-06-20'!O19</f>
        <v>154.30988400001323</v>
      </c>
      <c r="H20" s="5">
        <f>'AH2700A2022-06-21'!O19</f>
        <v>155.03718199994941</v>
      </c>
      <c r="I20" s="5">
        <f>'AH2700A2022-07-04'!O19</f>
        <v>154.10752600110018</v>
      </c>
      <c r="J20" s="5">
        <f>'AH2700A2022-07-11'!O19</f>
        <v>155.24963400005288</v>
      </c>
      <c r="K20" s="5">
        <f>'AH2700A2022-07-25'!O19</f>
        <v>149.78429100088593</v>
      </c>
      <c r="L20" s="5">
        <f>'AH2700A2022-08-01'!O19</f>
        <v>151.17831498979581</v>
      </c>
      <c r="M20" s="5">
        <f>'AH2700A2022-09-23'!O19</f>
        <v>149.31018899989465</v>
      </c>
      <c r="N20" s="5">
        <f>'AH2700A2022-10-25'!O19</f>
        <v>153.99135899985959</v>
      </c>
      <c r="O20" s="5">
        <f>'AH2700A2022-11-11'!O19</f>
        <v>156.50781399990518</v>
      </c>
      <c r="P20" s="5">
        <f>'AH2700A2023-01-16'!O19</f>
        <v>168.98175699998492</v>
      </c>
      <c r="Q20" s="5">
        <f>'AH2700A2023-3-28'!O19</f>
        <v>158.21197200017599</v>
      </c>
      <c r="R20" s="5">
        <f>'AH2700A2023-5-08'!O19</f>
        <v>167.90947299994838</v>
      </c>
      <c r="S20" s="5">
        <f>'AH2700A2023-5-16'!O19</f>
        <v>158.47689299986899</v>
      </c>
      <c r="T20" s="5">
        <f>'AH2700A2023-5-17'!O19</f>
        <v>154.72046199994514</v>
      </c>
      <c r="U20" s="5">
        <f>'AH2700A2023-5-23'!O19</f>
        <v>147.8158200001287</v>
      </c>
      <c r="V20" s="5">
        <f>'AH2700A2023-9-29'!O19</f>
        <v>139.01309699993899</v>
      </c>
      <c r="W20" s="5">
        <f>'AH2700A2023-10-02'!O19</f>
        <v>139.69610000009601</v>
      </c>
      <c r="X20" s="5">
        <f>'AH2700A2023-12-18'!O19</f>
        <v>163.56546599983622</v>
      </c>
      <c r="Y20" s="5">
        <f>'AH2700A2024-7-25'!O19</f>
        <v>141.60043800005437</v>
      </c>
      <c r="Z20" s="5"/>
      <c r="AA20" s="5"/>
      <c r="AB20" s="5"/>
      <c r="AD20" s="5">
        <f t="shared" si="0"/>
        <v>1.019476988939374</v>
      </c>
      <c r="AE20" s="5">
        <f t="shared" si="1"/>
        <v>-17.144720505346555</v>
      </c>
      <c r="AF20" s="5">
        <f t="shared" si="2"/>
        <v>-1.4428639901753399</v>
      </c>
    </row>
    <row r="21" spans="1:34" x14ac:dyDescent="0.25">
      <c r="A21" t="s">
        <v>44</v>
      </c>
      <c r="B21" s="5">
        <f>'AH2700A2022-04-07'!O20</f>
        <v>36.462200000984858</v>
      </c>
      <c r="C21" s="5">
        <f>'AH2700A2022-04-11'!O20</f>
        <v>36.588329999985604</v>
      </c>
      <c r="G21" s="5">
        <f>'AH2700A2022-06-20'!O20</f>
        <v>34.514759999836087</v>
      </c>
      <c r="H21" s="5">
        <f>'AH2700A2022-06-21'!O20</f>
        <v>33.60247999995989</v>
      </c>
      <c r="I21" s="5">
        <f>'AH2700A2022-07-04'!O20</f>
        <v>67.583040001105473</v>
      </c>
      <c r="J21" s="5">
        <f>'AH2700A2022-07-11'!O20</f>
        <v>33.989960000156728</v>
      </c>
      <c r="K21" s="5">
        <f>'AH2700A2022-07-25'!O20</f>
        <v>33.718390000890587</v>
      </c>
      <c r="L21" s="5">
        <f>'AH2700A2022-08-01'!O20</f>
        <v>33.755649999754645</v>
      </c>
      <c r="M21" s="5">
        <f>'AH2700A2022-09-23'!O20</f>
        <v>33.085009999998839</v>
      </c>
      <c r="N21" s="5">
        <f>'AH2700A2022-10-25'!O20</f>
        <v>33.213109999828717</v>
      </c>
      <c r="O21" s="5">
        <f>'AH2700A2022-11-11'!O20</f>
        <v>33.109059999990343</v>
      </c>
      <c r="P21" s="5">
        <f>'AH2700A2023-01-16'!O20</f>
        <v>34.864330000004863</v>
      </c>
      <c r="Q21" s="5">
        <f>'AH2700A2023-3-28'!O20</f>
        <v>37.329080000102245</v>
      </c>
      <c r="R21" s="5">
        <f>'AH2700A2023-5-08'!O20</f>
        <v>37.803669999846058</v>
      </c>
      <c r="S21" s="5">
        <f>'AH2700A2023-5-16'!O20</f>
        <v>37.702069999988353</v>
      </c>
      <c r="T21" s="5">
        <f>'AH2700A2023-5-17'!O20</f>
        <v>36.149480000201329</v>
      </c>
      <c r="U21" s="5">
        <f>'AH2700A2023-5-23'!O20</f>
        <v>38.342699999925657</v>
      </c>
      <c r="V21" s="5">
        <f>'AH2700A2023-9-29'!O20</f>
        <v>39.798530000144417</v>
      </c>
      <c r="W21" s="5">
        <f>'AH2700A2023-10-02'!O20</f>
        <v>39.666000000059022</v>
      </c>
      <c r="X21" s="5">
        <f>'AH2700A2023-12-18'!O20</f>
        <v>40.24093999989018</v>
      </c>
      <c r="Y21" s="5">
        <f>'AH2700A2024-7-25'!O20</f>
        <v>38.235120000017254</v>
      </c>
      <c r="Z21" s="5"/>
      <c r="AA21" s="5"/>
      <c r="AB21" s="5"/>
      <c r="AD21" s="5">
        <f t="shared" si="0"/>
        <v>0.12612999900074584</v>
      </c>
    </row>
    <row r="22" spans="1:34" x14ac:dyDescent="0.25">
      <c r="A22" t="s">
        <v>46</v>
      </c>
      <c r="B22" s="5">
        <f>'AH2700A2022-04-07'!O21</f>
        <v>12.731200001013558</v>
      </c>
      <c r="C22" s="5">
        <f>'AH2700A2022-04-11'!O21</f>
        <v>12.854329999988128</v>
      </c>
      <c r="G22" s="5">
        <f>'AH2700A2022-06-20'!O21</f>
        <v>8.0947599998646247</v>
      </c>
      <c r="H22" s="5">
        <f>'AH2700A2022-06-21'!O21</f>
        <v>7.6464799999662416</v>
      </c>
      <c r="I22" s="5">
        <f>'AH2700A2022-07-04'!O21</f>
        <v>26.517040001015939</v>
      </c>
      <c r="J22" s="5">
        <f>'AH2700A2022-07-11'!O21</f>
        <v>8.197959999965736</v>
      </c>
      <c r="K22" s="5">
        <f>'AH2700A2022-07-25'!O21</f>
        <v>7.6863900008259192</v>
      </c>
      <c r="L22" s="5">
        <f>'AH2700A2022-08-01'!O21</f>
        <v>7.7456499997339092</v>
      </c>
      <c r="M22" s="5">
        <f>'AH2700A2022-09-23'!O21</f>
        <v>7.2410099997241941</v>
      </c>
      <c r="N22" s="5">
        <f>'AH2700A2022-10-25'!O21</f>
        <v>7.229109999960829</v>
      </c>
      <c r="O22" s="5">
        <f>'AH2700A2022-11-11'!O21</f>
        <v>7.0840600000607692</v>
      </c>
      <c r="P22" s="5">
        <f>'AH2700A2023-01-16'!O21</f>
        <v>8.8763299998060141</v>
      </c>
      <c r="Q22" s="5">
        <f>'AH2700A2023-3-28'!O21</f>
        <v>11.366079990203541</v>
      </c>
      <c r="R22" s="5">
        <f>'AH2700A2023-5-08'!O21</f>
        <v>11.775670000112353</v>
      </c>
      <c r="S22" s="5">
        <f>'AH2700A2023-5-16'!O21</f>
        <v>11.576069999917653</v>
      </c>
      <c r="T22" s="5">
        <f>'AH2700A2023-5-17'!O21</f>
        <v>11.531480000114041</v>
      </c>
      <c r="U22" s="5">
        <f>'AH2700A2023-5-23'!O21</f>
        <v>13.737700000025814</v>
      </c>
      <c r="V22" s="5">
        <f>'AH2700A2023-9-29'!O21</f>
        <v>15.109529999955722</v>
      </c>
      <c r="W22" s="5">
        <f>'AH2700A2023-10-02'!O21</f>
        <v>14.993999999944645</v>
      </c>
      <c r="X22" s="5">
        <f>'AH2700A2023-12-18'!O21</f>
        <v>15.528940000018903</v>
      </c>
      <c r="Y22" s="5">
        <f>'AH2700A2024-7-25'!O21</f>
        <v>13.463120000066535</v>
      </c>
      <c r="Z22" s="5"/>
      <c r="AA22" s="5"/>
      <c r="AB22" s="5"/>
      <c r="AD22" s="5">
        <f t="shared" si="0"/>
        <v>0.12312999897456933</v>
      </c>
    </row>
    <row r="23" spans="1:34" x14ac:dyDescent="0.25">
      <c r="A23" t="s">
        <v>47</v>
      </c>
      <c r="B23" s="5">
        <f>'AH2700A2022-04-07'!O22</f>
        <v>10.14820000090209</v>
      </c>
      <c r="C23" s="5">
        <f>'AH2700A2022-04-11'!O22</f>
        <v>10.29232999983785</v>
      </c>
      <c r="G23" s="5">
        <f>'AH2700A2022-06-20'!O22</f>
        <v>6.0907599999202402</v>
      </c>
      <c r="H23" s="5">
        <f>'AH2700A2022-06-21'!O22</f>
        <v>5.5044800001500063</v>
      </c>
      <c r="I23" s="5">
        <f>'AH2700A2022-07-04'!O22</f>
        <v>17.250040000980942</v>
      </c>
      <c r="J23" s="5">
        <f>'AH2700A2022-07-11'!O22</f>
        <v>5.982960000104657</v>
      </c>
      <c r="K23" s="5">
        <f>'AH2700A2022-07-25'!O22</f>
        <v>5.558390001057826</v>
      </c>
      <c r="L23" s="5">
        <f>'AH2700A2022-08-01'!O22</f>
        <v>5.6246499998788648</v>
      </c>
      <c r="M23" s="5">
        <f>'AH2700A2022-09-23'!O22</f>
        <v>4.9910099998537829</v>
      </c>
      <c r="N23" s="5">
        <f>'AH2700A2022-10-25'!O22</f>
        <v>5.0501099999697798</v>
      </c>
      <c r="O23" s="5">
        <f>'AH2700A2022-11-11'!O22</f>
        <v>4.8800599999996122</v>
      </c>
      <c r="P23" s="5">
        <f>'AH2700A2023-01-16'!O22</f>
        <v>6.638330000040308</v>
      </c>
      <c r="Q23" s="5">
        <f>'AH2700A2023-3-28'!O22</f>
        <v>8.9820800001181134</v>
      </c>
      <c r="R23" s="5">
        <f>'AH2700A2023-5-08'!O22</f>
        <v>9.4606699999708432</v>
      </c>
      <c r="S23" s="5">
        <f>'AH2700A2023-5-16'!O22</f>
        <v>9.2740699997415454</v>
      </c>
      <c r="T23" s="5">
        <f>'AH2700A2023-5-17'!O22</f>
        <v>8.5604800000957759</v>
      </c>
      <c r="U23" s="5">
        <f>'AH2700A2023-5-23'!O22</f>
        <v>10.72970000005478</v>
      </c>
      <c r="V23" s="5">
        <f>'AH2700A2023-9-29'!O22</f>
        <v>12.041529999905247</v>
      </c>
      <c r="W23" s="5">
        <f>'AH2700A2023-10-02'!O22</f>
        <v>11.952000000047018</v>
      </c>
      <c r="X23" s="5">
        <f>'AH2700A2023-12-18'!O22</f>
        <v>12.549939999782804</v>
      </c>
      <c r="Y23" s="5">
        <f>'AH2700A2024-7-25'!O22</f>
        <v>10.367119999919776</v>
      </c>
      <c r="Z23" s="5"/>
      <c r="AA23" s="5"/>
      <c r="AB23" s="5"/>
      <c r="AD23" s="5">
        <f t="shared" si="0"/>
        <v>0.14412999893576028</v>
      </c>
    </row>
    <row r="24" spans="1:34" x14ac:dyDescent="0.25">
      <c r="A24" t="s">
        <v>48</v>
      </c>
      <c r="B24" s="5">
        <f>'AH2700A2022-04-07'!O23</f>
        <v>20.669200000998682</v>
      </c>
      <c r="C24" s="5">
        <f>'AH2700A2022-04-11'!O23</f>
        <v>20.817330000043359</v>
      </c>
      <c r="G24" s="5">
        <f>'AH2700A2022-06-20'!O23</f>
        <v>15.228759999939872</v>
      </c>
      <c r="H24" s="5">
        <f>'AH2700A2022-06-21'!O23</f>
        <v>14.954480000005415</v>
      </c>
      <c r="I24" s="5">
        <f>'AH2700A2022-07-04'!O23</f>
        <v>24.492040001110364</v>
      </c>
      <c r="J24" s="5">
        <f>'AH2700A2022-07-11'!O23</f>
        <v>15.566959990175082</v>
      </c>
      <c r="K24" s="5">
        <f>'AH2700A2022-07-25'!O23</f>
        <v>14.962389990889928</v>
      </c>
      <c r="L24" s="5">
        <f>'AH2700A2022-08-01'!O23</f>
        <v>15.031649999951195</v>
      </c>
      <c r="M24" s="5">
        <f>'AH2700A2022-09-23'!O23</f>
        <v>14.567009999920426</v>
      </c>
      <c r="N24" s="5">
        <f>'AH2700A2022-10-25'!O23</f>
        <v>14.507109999960281</v>
      </c>
      <c r="O24" s="5">
        <f>'AH2700A2022-11-11'!O23</f>
        <v>14.332060000020501</v>
      </c>
      <c r="P24" s="5">
        <f>'AH2700A2023-01-16'!O23</f>
        <v>16.082329999843363</v>
      </c>
      <c r="Q24" s="5">
        <f>'AH2700A2023-3-28'!O23</f>
        <v>18.599080000024397</v>
      </c>
      <c r="R24" s="5">
        <f>'AH2700A2023-5-08'!O23</f>
        <v>18.96767000010156</v>
      </c>
      <c r="S24" s="5">
        <f>'AH2700A2023-5-16'!O23</f>
        <v>18.680069999953179</v>
      </c>
      <c r="T24" s="5">
        <f>'AH2700A2023-5-17'!O23</f>
        <v>19.245479999995023</v>
      </c>
      <c r="U24" s="5">
        <f>'AH2700A2023-5-23'!O23</f>
        <v>21.460699999985327</v>
      </c>
      <c r="V24" s="5">
        <f>'AH2700A2023-9-29'!O23</f>
        <v>22.783530000079804</v>
      </c>
      <c r="W24" s="5">
        <f>'AH2700A2023-10-02'!O23</f>
        <v>22.671000000094903</v>
      </c>
      <c r="X24" s="5">
        <f>'AH2700A2023-12-18'!O23</f>
        <v>23.196939999868587</v>
      </c>
      <c r="Y24" s="5">
        <f>'AH2700A2024-7-25'!O23</f>
        <v>21.082120000080788</v>
      </c>
      <c r="Z24" s="5"/>
      <c r="AA24" s="5"/>
      <c r="AB24" s="5"/>
      <c r="AD24" s="5">
        <f t="shared" si="0"/>
        <v>0.14812999904467716</v>
      </c>
    </row>
    <row r="25" spans="1:34" x14ac:dyDescent="0.25">
      <c r="A25" t="s">
        <v>49</v>
      </c>
      <c r="B25" s="5">
        <f>'AH2700A2022-04-07'!O24</f>
        <v>-2.9795999990547459</v>
      </c>
      <c r="C25" s="5">
        <f>'AH2700A2022-04-11'!O24</f>
        <v>-2.8503700000195495</v>
      </c>
      <c r="G25" s="5">
        <f>'AH2700A2022-06-20'!O24</f>
        <v>-3.4948400000525313</v>
      </c>
      <c r="H25" s="5">
        <f>'AH2700A2022-06-21'!O24</f>
        <v>-5.6396199998767402</v>
      </c>
      <c r="I25" s="5">
        <f>'AH2700A2022-07-04'!O24</f>
        <v>3.3290399909055948</v>
      </c>
      <c r="J25" s="5">
        <f>'AH2700A2022-07-11'!O24</f>
        <v>-5.6829399999083394</v>
      </c>
      <c r="K25" s="5">
        <f>'AH2700A2022-07-25'!O24</f>
        <v>-5.3214099990830563</v>
      </c>
      <c r="L25" s="5">
        <f>'AH2700A2022-08-01'!O24</f>
        <v>-5.4150500001695265</v>
      </c>
      <c r="M25" s="5">
        <f>'AH2700A2022-09-23'!O24</f>
        <v>-6.096490000041773</v>
      </c>
      <c r="N25" s="5">
        <f>'AH2700A2022-10-25'!O24</f>
        <v>-5.8368900001006994</v>
      </c>
      <c r="O25" s="5">
        <f>'AH2700A2022-11-11'!O24</f>
        <v>-5.7111400001321941</v>
      </c>
      <c r="P25" s="5">
        <f>'AH2700A2023-01-16'!O24</f>
        <v>-4.2287700000489723</v>
      </c>
      <c r="Q25" s="5">
        <f>'AH2700A2023-3-28'!O24</f>
        <v>-2.0129199998955203</v>
      </c>
      <c r="R25" s="5">
        <f>'AH2700A2023-5-08'!O24</f>
        <v>-1.3903300001185857</v>
      </c>
      <c r="S25" s="5">
        <f>'AH2700A2023-5-16'!O24</f>
        <v>-1.6759300003235298</v>
      </c>
      <c r="T25" s="5">
        <f>'AH2700A2023-5-17'!O24</f>
        <v>-5.5842199998448381</v>
      </c>
      <c r="U25" s="5">
        <f>'AH2700A2023-5-23'!O24</f>
        <v>-3.3800000000985451</v>
      </c>
      <c r="V25" s="5">
        <f>'AH2700A2023-9-29'!O24</f>
        <v>-1.9684699999924691</v>
      </c>
      <c r="W25" s="5">
        <f>'AH2700A2023-10-02'!O24</f>
        <v>-2.1159999999867027</v>
      </c>
      <c r="X25" s="5">
        <f>'AH2700A2023-12-18'!O24</f>
        <v>-1.757060000041851</v>
      </c>
      <c r="Y25" s="5">
        <f>'AH2700A2024-7-25'!O24</f>
        <v>-4.0541800000362302</v>
      </c>
      <c r="Z25" s="5"/>
      <c r="AA25" s="5"/>
      <c r="AB25" s="5"/>
      <c r="AD25" s="5">
        <f t="shared" si="0"/>
        <v>0.12922999903519639</v>
      </c>
    </row>
    <row r="26" spans="1:34" x14ac:dyDescent="0.25">
      <c r="A26" t="s">
        <v>50</v>
      </c>
      <c r="B26" s="5">
        <f>'AH2700A2022-04-07'!O25</f>
        <v>21.453200001030108</v>
      </c>
      <c r="C26" s="5">
        <f>'AH2700A2022-04-11'!O25</f>
        <v>21.599329999909305</v>
      </c>
      <c r="G26" s="5">
        <f>'AH2700A2022-06-20'!O25</f>
        <v>15.76575999996253</v>
      </c>
      <c r="H26" s="5">
        <f>'AH2700A2022-06-21'!O25</f>
        <v>15.617480000017263</v>
      </c>
      <c r="I26" s="5">
        <f>'AH2700A2022-07-04'!O25</f>
        <v>23.992039991048468</v>
      </c>
      <c r="J26" s="5">
        <f>'AH2700A2022-07-11'!O25</f>
        <v>16.273960000044756</v>
      </c>
      <c r="K26" s="5">
        <f>'AH2700A2022-07-25'!O25</f>
        <v>15.59939000096298</v>
      </c>
      <c r="L26" s="5">
        <f>'AH2700A2022-08-01'!O25</f>
        <v>15.678649989979458</v>
      </c>
      <c r="M26" s="5">
        <f>'AH2700A2022-09-23'!O25</f>
        <v>15.245009999841113</v>
      </c>
      <c r="N26" s="5">
        <f>'AH2700A2022-10-25'!O25</f>
        <v>15.183109999937532</v>
      </c>
      <c r="O26" s="5">
        <f>'AH2700A2022-11-11'!O25</f>
        <v>14.991059989931426</v>
      </c>
      <c r="P26" s="5">
        <f>'AH2700A2023-01-16'!O25</f>
        <v>16.715329999815491</v>
      </c>
      <c r="Q26" s="5">
        <f>'AH2700A2023-3-28'!O25</f>
        <v>19.112080000059688</v>
      </c>
      <c r="R26" s="5">
        <f>'AH2700A2023-5-08'!O25</f>
        <v>19.570670000033967</v>
      </c>
      <c r="S26" s="5">
        <f>'AH2700A2023-5-16'!O25</f>
        <v>19.224069999666842</v>
      </c>
      <c r="T26" s="5">
        <f>'AH2700A2023-5-17'!O25</f>
        <v>20.063479999953042</v>
      </c>
      <c r="U26" s="5">
        <f>'AH2700A2023-5-23'!O25</f>
        <v>22.265699999977944</v>
      </c>
      <c r="V26" s="5">
        <f>'AH2700A2023-9-29'!O25</f>
        <v>23.537530000071509</v>
      </c>
      <c r="W26" s="5">
        <f>'AH2700A2023-10-02'!O25</f>
        <v>23.463999999982814</v>
      </c>
      <c r="X26" s="5">
        <f>'AH2700A2023-12-18'!O25</f>
        <v>24.024939999765831</v>
      </c>
      <c r="Y26" s="5">
        <f>'AH2700A2024-7-25'!O25</f>
        <v>21.844120000068283</v>
      </c>
      <c r="Z26" s="5"/>
      <c r="AA26" s="5"/>
      <c r="AB26" s="5"/>
      <c r="AD26" s="5">
        <f t="shared" si="0"/>
        <v>0.14612999887919642</v>
      </c>
    </row>
    <row r="27" spans="1:34" x14ac:dyDescent="0.25">
      <c r="A27" t="s">
        <v>51</v>
      </c>
      <c r="B27" s="5">
        <f>'AH2700A2022-04-07'!O26</f>
        <v>29.823200001009891</v>
      </c>
      <c r="C27" s="5">
        <f>'AH2700A2022-04-11'!O26</f>
        <v>29.971329999832523</v>
      </c>
      <c r="G27" s="5">
        <f>'AH2700A2022-06-20'!O26</f>
        <v>28.866759999922369</v>
      </c>
      <c r="H27" s="5">
        <f>'AH2700A2022-06-21'!O26</f>
        <v>27.801480000043437</v>
      </c>
      <c r="I27" s="5">
        <f>'AH2700A2022-07-04'!O26</f>
        <v>35.187040001170878</v>
      </c>
      <c r="J27" s="5">
        <f>'AH2700A2022-07-11'!O26</f>
        <v>28.142959999986932</v>
      </c>
      <c r="K27" s="5">
        <f>'AH2700A2022-07-25'!O26</f>
        <v>27.918390001056874</v>
      </c>
      <c r="L27" s="5">
        <f>'AH2700A2022-08-01'!O26</f>
        <v>27.963649999916722</v>
      </c>
      <c r="M27" s="5">
        <f>'AH2700A2022-09-23'!O26</f>
        <v>27.285009999943082</v>
      </c>
      <c r="N27" s="5">
        <f>'AH2700A2022-10-25'!O26</f>
        <v>27.419109999825313</v>
      </c>
      <c r="O27" s="5">
        <f>'AH2700A2022-11-11'!O26</f>
        <v>27.378059990100549</v>
      </c>
      <c r="P27" s="5">
        <f>'AH2700A2023-01-16'!O26</f>
        <v>29.079329999857944</v>
      </c>
      <c r="Q27" s="5">
        <f>'AH2700A2023-3-28'!O26</f>
        <v>31.574080000217091</v>
      </c>
      <c r="R27" s="5">
        <f>'AH2700A2023-5-08'!O26</f>
        <v>32.068669999839351</v>
      </c>
      <c r="S27" s="5">
        <f>'AH2700A2023-5-16'!O26</f>
        <v>32.008069999821288</v>
      </c>
      <c r="T27" s="5">
        <f>'AH2700A2023-5-17'!O26</f>
        <v>29.962480000099472</v>
      </c>
      <c r="U27" s="5">
        <f>'AH2700A2023-5-23'!O26</f>
        <v>32.1546999999631</v>
      </c>
      <c r="V27" s="5">
        <f>'AH2700A2023-9-29'!O26</f>
        <v>33.603530000046767</v>
      </c>
      <c r="W27" s="5">
        <f>'AH2700A2023-10-02'!O26</f>
        <v>33.518000000075411</v>
      </c>
      <c r="X27" s="5">
        <f>'AH2700A2023-12-18'!O26</f>
        <v>34.095939999932746</v>
      </c>
      <c r="Y27" s="5">
        <f>'AH2700A2024-7-25'!O26</f>
        <v>32.127120000012589</v>
      </c>
      <c r="Z27" s="5"/>
      <c r="AA27" s="5"/>
      <c r="AB27" s="5"/>
      <c r="AD27" s="5">
        <f t="shared" si="0"/>
        <v>0.14812999882263256</v>
      </c>
    </row>
    <row r="28" spans="1:34" x14ac:dyDescent="0.25">
      <c r="A28" t="s">
        <v>53</v>
      </c>
      <c r="B28" s="5">
        <f>'AH2700A2022-04-07'!O27</f>
        <v>22.785200000884114</v>
      </c>
      <c r="C28" s="5">
        <f>'AH2700A2022-04-11'!O27</f>
        <v>22.949329989928362</v>
      </c>
      <c r="G28" s="5">
        <f>'AH2700A2022-06-20'!O27</f>
        <v>19.630760000009833</v>
      </c>
      <c r="H28" s="5">
        <f>'AH2700A2022-06-21'!O27</f>
        <v>18.928479990197626</v>
      </c>
      <c r="I28" s="5">
        <f>'AH2700A2022-07-04'!O27</f>
        <v>26.003040000897908</v>
      </c>
      <c r="J28" s="5">
        <f>'AH2700A2022-07-11'!O27</f>
        <v>19.390959989938654</v>
      </c>
      <c r="K28" s="5">
        <f>'AH2700A2022-07-25'!O27</f>
        <v>19.01339000099787</v>
      </c>
      <c r="L28" s="5">
        <f>'AH2700A2022-08-01'!O27</f>
        <v>19.07264999990586</v>
      </c>
      <c r="M28" s="5">
        <f>'AH2700A2022-09-23'!O27</f>
        <v>18.517009999895233</v>
      </c>
      <c r="N28" s="5">
        <f>'AH2700A2022-10-25'!O27</f>
        <v>18.600109999998597</v>
      </c>
      <c r="O28" s="5">
        <f>'AH2700A2022-11-11'!O27</f>
        <v>18.443059999993832</v>
      </c>
      <c r="P28" s="5">
        <f>'AH2700A2023-01-16'!O27</f>
        <v>20.196330000064915</v>
      </c>
      <c r="Q28" s="5">
        <f>'AH2700A2023-3-28'!O27</f>
        <v>22.522080000207705</v>
      </c>
      <c r="R28" s="5">
        <f>'AH2700A2023-5-08'!O27</f>
        <v>23.046670000091733</v>
      </c>
      <c r="S28" s="5">
        <f>'AH2700A2023-5-16'!O27</f>
        <v>22.760069999804049</v>
      </c>
      <c r="T28" s="5">
        <f>'AH2700A2023-5-17'!O27</f>
        <v>21.77648000002284</v>
      </c>
      <c r="U28" s="5">
        <f>'AH2700A2023-5-23'!O27</f>
        <v>23.933700000099183</v>
      </c>
      <c r="V28" s="5">
        <f>'AH2700A2023-9-29'!O27</f>
        <v>25.202529999944527</v>
      </c>
      <c r="W28" s="5">
        <f>'AH2700A2023-10-02'!O27</f>
        <v>25.142000000043279</v>
      </c>
      <c r="X28" s="5">
        <f>'AH2700A2023-12-18'!O27</f>
        <v>25.790940000002021</v>
      </c>
      <c r="Y28" s="5">
        <f>'AH2700A2024-7-25'!O27</f>
        <v>23.723120000106217</v>
      </c>
      <c r="Z28" s="5"/>
      <c r="AA28" s="5"/>
      <c r="AB28" s="5"/>
      <c r="AD28" s="5">
        <f t="shared" si="0"/>
        <v>0.16412998904424825</v>
      </c>
    </row>
    <row r="29" spans="1:34" x14ac:dyDescent="0.25">
      <c r="A29" t="s">
        <v>54</v>
      </c>
      <c r="B29" s="5">
        <f>'AH2700A2022-04-07'!O28</f>
        <v>35.648199990921704</v>
      </c>
      <c r="C29" s="5">
        <f>'AH2700A2022-04-11'!O28</f>
        <v>35.799329999984565</v>
      </c>
      <c r="G29" s="5">
        <f>'AH2700A2022-06-20'!O28</f>
        <v>32.051759989891494</v>
      </c>
      <c r="H29" s="5">
        <f>'AH2700A2022-06-21'!O28</f>
        <v>31.250480000087659</v>
      </c>
      <c r="I29" s="5">
        <f>'AH2700A2022-07-04'!O28</f>
        <v>37.595040001013636</v>
      </c>
      <c r="J29" s="5">
        <f>'AH2700A2022-07-11'!O28</f>
        <v>31.733959990019915</v>
      </c>
      <c r="K29" s="5">
        <f>'AH2700A2022-07-25'!O28</f>
        <v>31.419390000962704</v>
      </c>
      <c r="L29" s="5">
        <f>'AH2700A2022-08-01'!O28</f>
        <v>31.476649999927258</v>
      </c>
      <c r="M29" s="5">
        <f>'AH2700A2022-09-23'!O28</f>
        <v>31.036009999883856</v>
      </c>
      <c r="N29" s="5">
        <f>'AH2700A2022-10-25'!O28</f>
        <v>31.132109999952622</v>
      </c>
      <c r="O29" s="5">
        <f>'AH2700A2022-11-11'!O28</f>
        <v>31.058059989939917</v>
      </c>
      <c r="P29" s="5">
        <f>'AH2700A2023-01-16'!O28</f>
        <v>32.835329999990371</v>
      </c>
      <c r="Q29" s="5">
        <f>'AH2700A2023-3-28'!O28</f>
        <v>35.340080000066699</v>
      </c>
      <c r="R29" s="5">
        <f>'AH2700A2023-5-08'!O28</f>
        <v>35.796669999875498</v>
      </c>
      <c r="S29" s="5">
        <f>'AH2700A2023-5-16'!O28</f>
        <v>35.545069999819191</v>
      </c>
      <c r="T29" s="5">
        <f>'AH2700A2023-5-17'!O28</f>
        <v>34.725480000062682</v>
      </c>
      <c r="U29" s="5">
        <f>'AH2700A2023-5-23'!O28</f>
        <v>36.926700000004843</v>
      </c>
      <c r="V29" s="5">
        <f>'AH2700A2023-9-29'!O28</f>
        <v>38.391530000080088</v>
      </c>
      <c r="W29" s="5">
        <f>'AH2700A2023-10-02'!O28</f>
        <v>38.29200000006059</v>
      </c>
      <c r="X29" s="5">
        <f>'AH2700A2023-12-18'!O28</f>
        <v>38.894939999988033</v>
      </c>
      <c r="Y29" s="5">
        <f>'AH2700A2024-7-25'!O28</f>
        <v>36.946119999946326</v>
      </c>
      <c r="Z29" s="5"/>
      <c r="AA29" s="5"/>
      <c r="AB29" s="5"/>
      <c r="AD29" s="5">
        <f t="shared" si="0"/>
        <v>0.15113000906286089</v>
      </c>
    </row>
    <row r="30" spans="1:34" x14ac:dyDescent="0.25">
      <c r="A30" t="s">
        <v>55</v>
      </c>
      <c r="B30" s="5">
        <f>'AH2700A2022-04-07'!O29</f>
        <v>38.865200000858003</v>
      </c>
      <c r="C30" s="5">
        <f>'AH2700A2022-04-11'!O29</f>
        <v>39.037329999890048</v>
      </c>
      <c r="G30" s="5">
        <f>'AH2700A2022-06-20'!O29</f>
        <v>39.355759999813756</v>
      </c>
      <c r="H30" s="5">
        <f>'AH2700A2022-06-21'!O29</f>
        <v>37.52948000003007</v>
      </c>
      <c r="I30" s="5">
        <f>'AH2700A2022-07-04'!O29</f>
        <v>43.479040000914161</v>
      </c>
      <c r="J30" s="5">
        <f>'AH2700A2022-07-11'!O29</f>
        <v>37.62095999993862</v>
      </c>
      <c r="K30" s="5">
        <f>'AH2700A2022-07-25'!O29</f>
        <v>37.787389990949528</v>
      </c>
      <c r="L30" s="5">
        <f>'AH2700A2022-08-01'!O29</f>
        <v>37.75964999975654</v>
      </c>
      <c r="M30" s="5">
        <f>'AH2700A2022-09-23'!O29</f>
        <v>36.996009999855396</v>
      </c>
      <c r="N30" s="5">
        <f>'AH2700A2022-10-25'!O29</f>
        <v>37.247109999870332</v>
      </c>
      <c r="O30" s="5">
        <f>'AH2700A2022-11-11'!O29</f>
        <v>37.284059999929987</v>
      </c>
      <c r="P30" s="5">
        <f>'AH2700A2023-01-16'!O29</f>
        <v>38.932329999973071</v>
      </c>
      <c r="Q30" s="5">
        <f>'AH2700A2023-3-28'!O29</f>
        <v>41.215080000110738</v>
      </c>
      <c r="R30" s="5">
        <f>'AH2700A2023-5-08'!O29</f>
        <v>41.80266999987834</v>
      </c>
      <c r="S30" s="5">
        <f>'AH2700A2023-5-16'!O29</f>
        <v>41.514069999869264</v>
      </c>
      <c r="T30" s="5">
        <f>'AH2700A2023-5-17'!O29</f>
        <v>37.721479999929009</v>
      </c>
      <c r="U30" s="5">
        <f>'AH2700A2023-5-23'!O29</f>
        <v>39.937700000002053</v>
      </c>
      <c r="V30" s="5">
        <f>'AH2700A2023-9-29'!O29</f>
        <v>41.264530000205447</v>
      </c>
      <c r="W30" s="5">
        <f>'AH2700A2023-10-02'!O29</f>
        <v>41.194000000142928</v>
      </c>
      <c r="X30" s="5">
        <f>'AH2700A2023-12-18'!O29</f>
        <v>41.729940000077882</v>
      </c>
      <c r="Y30" s="5">
        <f>'AH2700A2024-7-25'!O29</f>
        <v>39.555119999988598</v>
      </c>
      <c r="Z30" s="5"/>
      <c r="AA30" s="5"/>
      <c r="AB30" s="5"/>
      <c r="AD30" s="5">
        <f t="shared" si="0"/>
        <v>0.17212999903204462</v>
      </c>
    </row>
    <row r="31" spans="1:34" x14ac:dyDescent="0.25">
      <c r="A31" t="s">
        <v>56</v>
      </c>
      <c r="B31" s="5">
        <f>'AH2700A2022-04-07'!O30</f>
        <v>21.180199990876485</v>
      </c>
      <c r="C31" s="5">
        <f>'AH2700A2022-04-11'!O30</f>
        <v>21.330329999856605</v>
      </c>
      <c r="G31" s="5">
        <f>'AH2700A2022-06-20'!O30</f>
        <v>19.589759999948146</v>
      </c>
      <c r="H31" s="5">
        <f>'AH2700A2022-06-21'!O30</f>
        <v>18.392480000027671</v>
      </c>
      <c r="I31" s="5">
        <f>'AH2700A2022-07-04'!O30</f>
        <v>24.185040001022156</v>
      </c>
      <c r="J31" s="5">
        <f>'AH2700A2022-07-11'!O30</f>
        <v>18.654960000096015</v>
      </c>
      <c r="K31" s="5">
        <f>'AH2700A2022-07-25'!O30</f>
        <v>18.576390001033598</v>
      </c>
      <c r="L31" s="5">
        <f>'AH2700A2022-08-01'!O30</f>
        <v>18.590649990001022</v>
      </c>
      <c r="M31" s="5">
        <f>'AH2700A2022-09-23'!O30</f>
        <v>17.915010000045566</v>
      </c>
      <c r="N31" s="5">
        <f>'AH2700A2022-10-25'!O30</f>
        <v>18.058109999784282</v>
      </c>
      <c r="O31" s="5">
        <f>'AH2700A2022-11-11'!O30</f>
        <v>17.972059999880923</v>
      </c>
      <c r="P31" s="5">
        <f>'AH2700A2023-01-16'!O30</f>
        <v>19.569329999923095</v>
      </c>
      <c r="Q31" s="5">
        <f>'AH2700A2023-3-28'!O30</f>
        <v>21.794080000146803</v>
      </c>
      <c r="R31" s="5">
        <f>'AH2700A2023-5-08'!O30</f>
        <v>22.145669999927602</v>
      </c>
      <c r="S31" s="5">
        <f>'AH2700A2023-5-16'!O30</f>
        <v>22.020069999860485</v>
      </c>
      <c r="T31" s="5">
        <f>'AH2700A2023-5-17'!O30</f>
        <v>19.53747999995235</v>
      </c>
      <c r="U31" s="5">
        <f>'AH2700A2023-5-23'!O30</f>
        <v>21.741699999920687</v>
      </c>
      <c r="V31" s="5">
        <f>'AH2700A2023-9-29'!O30</f>
        <v>22.930530000252229</v>
      </c>
      <c r="W31" s="5">
        <f>'AH2700A2023-10-02'!O30</f>
        <v>22.883999999955034</v>
      </c>
      <c r="X31" s="5">
        <f>'AH2700A2023-12-18'!O30</f>
        <v>23.416939999863811</v>
      </c>
      <c r="Y31" s="5">
        <f>'AH2700A2024-7-25'!O30</f>
        <v>21.142119999938185</v>
      </c>
      <c r="Z31" s="5"/>
      <c r="AA31" s="5"/>
      <c r="AB31" s="5"/>
      <c r="AD31" s="5">
        <f t="shared" si="0"/>
        <v>0.15013000898012052</v>
      </c>
    </row>
    <row r="33" spans="2:30" x14ac:dyDescent="0.25">
      <c r="B33" s="8">
        <f>STDEV(B21:B31)</f>
        <v>12.620214699999128</v>
      </c>
      <c r="C33" s="8">
        <f>STDEV(C21:C31)</f>
        <v>12.627372909388669</v>
      </c>
      <c r="G33" s="8">
        <f t="shared" ref="G33:M33" si="6">STDEV(G21:G31)</f>
        <v>13.174636254829009</v>
      </c>
      <c r="H33" s="8">
        <f t="shared" si="6"/>
        <v>13.150590680331264</v>
      </c>
      <c r="I33" s="8">
        <f t="shared" si="6"/>
        <v>16.373762642855695</v>
      </c>
      <c r="J33" s="8">
        <f t="shared" si="6"/>
        <v>13.160475530493837</v>
      </c>
      <c r="K33" s="8">
        <f t="shared" si="6"/>
        <v>13.157635719748949</v>
      </c>
      <c r="L33" s="8">
        <f t="shared" si="6"/>
        <v>13.168169945270964</v>
      </c>
      <c r="M33" s="8">
        <f t="shared" si="6"/>
        <v>13.149646094284991</v>
      </c>
      <c r="N33" s="8">
        <f t="shared" ref="N33:O33" si="7">STDEV(N21:N31)</f>
        <v>13.168733259961888</v>
      </c>
      <c r="O33" s="8">
        <f t="shared" si="7"/>
        <v>13.16856006234851</v>
      </c>
      <c r="P33" s="8">
        <f t="shared" ref="P33" si="8">STDEV(P21:P31)</f>
        <v>13.199274866221801</v>
      </c>
      <c r="Q33" s="8">
        <f t="shared" ref="Q33:Y33" si="9">STDEV(Q21:Q31)</f>
        <v>13.235866705286236</v>
      </c>
      <c r="R33" s="8">
        <f t="shared" si="9"/>
        <v>13.233584582027781</v>
      </c>
      <c r="S33" s="8">
        <f t="shared" si="9"/>
        <v>13.256900190998907</v>
      </c>
      <c r="T33" s="8">
        <f t="shared" si="9"/>
        <v>13.171880817393735</v>
      </c>
      <c r="U33" s="8">
        <f t="shared" si="9"/>
        <v>13.173932433033078</v>
      </c>
      <c r="V33" s="8">
        <f t="shared" si="9"/>
        <v>13.194010591645684</v>
      </c>
      <c r="W33" s="8">
        <f t="shared" si="9"/>
        <v>13.204113732983959</v>
      </c>
      <c r="X33" s="8">
        <f t="shared" si="9"/>
        <v>13.248743329797716</v>
      </c>
      <c r="Y33" s="8">
        <f t="shared" si="9"/>
        <v>13.32386067355594</v>
      </c>
      <c r="Z33" s="8"/>
      <c r="AA33" s="8"/>
      <c r="AB33" s="8"/>
      <c r="AD33" s="8"/>
    </row>
  </sheetData>
  <pageMargins left="0.7" right="0.7" top="0.75" bottom="0.75" header="0.3" footer="0.3"/>
  <pageSetup paperSize="9" scale="95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08CC-1640-424E-8C3D-7ABD6AEA3BA5}">
  <dimension ref="A1:AL103"/>
  <sheetViews>
    <sheetView topLeftCell="L19" zoomScale="90" zoomScaleNormal="90" workbookViewId="0">
      <selection activeCell="U15" sqref="U15"/>
    </sheetView>
  </sheetViews>
  <sheetFormatPr defaultRowHeight="15" x14ac:dyDescent="0.25"/>
  <cols>
    <col min="1" max="1" width="17.42578125" bestFit="1" customWidth="1"/>
    <col min="2" max="2" width="10.42578125" customWidth="1"/>
    <col min="3" max="3" width="11.42578125" customWidth="1"/>
    <col min="4" max="5" width="11.28515625" customWidth="1"/>
    <col min="6" max="6" width="9.7109375" customWidth="1"/>
    <col min="7" max="7" width="12.42578125" customWidth="1"/>
    <col min="8" max="8" width="12.28515625" customWidth="1"/>
    <col min="9" max="9" width="10.7109375" customWidth="1"/>
    <col min="10" max="10" width="12.5703125" customWidth="1"/>
    <col min="11" max="11" width="12.28515625" customWidth="1"/>
    <col min="12" max="12" width="11" customWidth="1"/>
    <col min="13" max="13" width="13.28515625" customWidth="1"/>
    <col min="14" max="16" width="12.5703125" customWidth="1"/>
    <col min="17" max="17" width="14" bestFit="1" customWidth="1"/>
    <col min="19" max="20" width="11.85546875" bestFit="1" customWidth="1"/>
    <col min="21" max="21" width="10.7109375" customWidth="1"/>
  </cols>
  <sheetData>
    <row r="1" spans="1:38" x14ac:dyDescent="0.25">
      <c r="A1" s="11" t="str">
        <f>Checks!A1</f>
        <v>Sapphire ball (log)</v>
      </c>
      <c r="B1" s="11">
        <f>Checks!B1</f>
        <v>0</v>
      </c>
      <c r="C1" s="11">
        <f>Checks!C1</f>
        <v>23.295000000000002</v>
      </c>
      <c r="D1" s="11">
        <f>Checks!D1</f>
        <v>21.655000000000001</v>
      </c>
      <c r="E1" s="11">
        <f>Checks!E1</f>
        <v>23.658999999999999</v>
      </c>
      <c r="F1" s="11">
        <f>Checks!F1</f>
        <v>23.35</v>
      </c>
      <c r="G1" s="11">
        <f>Checks!G1</f>
        <v>23.678000000000001</v>
      </c>
      <c r="H1" s="11">
        <f>Checks!H1</f>
        <v>23.679400000000001</v>
      </c>
      <c r="I1" s="11">
        <f>Checks!I1</f>
        <v>23.6843</v>
      </c>
      <c r="J1" s="11">
        <f>Checks!J1</f>
        <v>23.686</v>
      </c>
      <c r="K1" s="11">
        <f>Checks!K1</f>
        <v>23.686499999999999</v>
      </c>
      <c r="L1" s="11">
        <f>Checks!L1</f>
        <v>23.78</v>
      </c>
      <c r="M1" s="11">
        <f>Checks!M1</f>
        <v>23.686499999999999</v>
      </c>
      <c r="N1" s="11">
        <f>Checks!N1</f>
        <v>23.786000000000001</v>
      </c>
      <c r="O1" s="11">
        <f>Checks!O1</f>
        <v>24.757000000000001</v>
      </c>
      <c r="P1" s="11">
        <f>Checks!P1</f>
        <v>24.757000000000001</v>
      </c>
      <c r="Q1" s="11">
        <f>Checks!Q1</f>
        <v>23.733000000000001</v>
      </c>
      <c r="R1" s="14"/>
      <c r="S1" s="14" t="s">
        <v>210</v>
      </c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x14ac:dyDescent="0.25">
      <c r="A2" s="11" t="str">
        <f>Checks!A2</f>
        <v>GR inner (log)</v>
      </c>
      <c r="B2" s="11">
        <f>Checks!B2</f>
        <v>25.46</v>
      </c>
      <c r="C2" s="11">
        <f>Checks!C2</f>
        <v>25.48</v>
      </c>
      <c r="D2" s="11">
        <f>Checks!D2</f>
        <v>21.122</v>
      </c>
      <c r="E2" s="11">
        <f>Checks!E2</f>
        <v>23.98</v>
      </c>
      <c r="F2" s="11">
        <f>Checks!F2</f>
        <v>24.006</v>
      </c>
      <c r="G2" s="11">
        <f>Checks!G2</f>
        <v>24.010200000000001</v>
      </c>
      <c r="H2" s="11">
        <f>Checks!H2</f>
        <v>23.984000000000002</v>
      </c>
      <c r="I2" s="11">
        <f>Checks!I2</f>
        <v>24.011800000000001</v>
      </c>
      <c r="J2" s="11">
        <f>Checks!J2</f>
        <v>23.998999999999999</v>
      </c>
      <c r="K2" s="11">
        <f>Checks!K2</f>
        <v>24.012799999999999</v>
      </c>
      <c r="L2" s="11">
        <f>Checks!L2</f>
        <v>24.1065</v>
      </c>
      <c r="M2" s="11">
        <f>Checks!M2</f>
        <v>23.910799999999998</v>
      </c>
      <c r="N2" s="11">
        <f>Checks!N2</f>
        <v>23.910299999999999</v>
      </c>
      <c r="O2" s="11">
        <f>Checks!O2</f>
        <v>25.154599999999999</v>
      </c>
      <c r="P2" s="11">
        <v>23.906500000000001</v>
      </c>
      <c r="Q2" s="11">
        <f>Checks!Q2</f>
        <v>23.911000000000001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 s="14" customFormat="1" x14ac:dyDescent="0.25">
      <c r="A3" s="19" t="s">
        <v>211</v>
      </c>
      <c r="B3" s="19">
        <v>1020.73</v>
      </c>
      <c r="C3" s="19">
        <v>1021.26</v>
      </c>
      <c r="D3" s="19">
        <v>1006.48</v>
      </c>
      <c r="E3" s="19">
        <v>1003.76</v>
      </c>
      <c r="F3" s="19">
        <v>993.03</v>
      </c>
      <c r="G3" s="19">
        <v>1022.34</v>
      </c>
      <c r="H3" s="19">
        <v>1024.7</v>
      </c>
      <c r="I3" s="19">
        <v>1024.52</v>
      </c>
      <c r="J3" s="19">
        <v>1028.29</v>
      </c>
      <c r="K3" s="19">
        <v>1022.3</v>
      </c>
      <c r="L3" s="19">
        <v>1022.16</v>
      </c>
      <c r="M3" s="19">
        <v>1020.69</v>
      </c>
      <c r="N3" s="19">
        <v>1030.3900000000001</v>
      </c>
      <c r="O3" s="19">
        <v>1021.37</v>
      </c>
      <c r="P3" s="19">
        <v>1024.17</v>
      </c>
      <c r="Q3" s="11">
        <f>Checks!Q3</f>
        <v>45013</v>
      </c>
    </row>
    <row r="4" spans="1:38" x14ac:dyDescent="0.25">
      <c r="A4" s="11" t="str">
        <f>Checks!A3</f>
        <v>Date</v>
      </c>
      <c r="B4" s="12">
        <f>Checks!B3</f>
        <v>44658</v>
      </c>
      <c r="C4" s="12">
        <f>Checks!C3</f>
        <v>44662</v>
      </c>
      <c r="D4" s="12">
        <f>Checks!D3</f>
        <v>44711</v>
      </c>
      <c r="E4" s="12">
        <f>Checks!E3</f>
        <v>44712</v>
      </c>
      <c r="F4" s="12">
        <f>Checks!F3</f>
        <v>44714</v>
      </c>
      <c r="G4" s="12">
        <f>Checks!G3</f>
        <v>44732</v>
      </c>
      <c r="H4" s="12">
        <f>Checks!H3</f>
        <v>44733</v>
      </c>
      <c r="I4" s="12">
        <f>Checks!I3</f>
        <v>44746</v>
      </c>
      <c r="J4" s="12">
        <f>Checks!J3</f>
        <v>44753</v>
      </c>
      <c r="K4" s="12">
        <f>Checks!K3</f>
        <v>44767</v>
      </c>
      <c r="L4" s="12">
        <f>Checks!L3</f>
        <v>44774</v>
      </c>
      <c r="M4" s="12">
        <f>Checks!M3</f>
        <v>44827</v>
      </c>
      <c r="N4" s="12">
        <f>Checks!N3</f>
        <v>44859</v>
      </c>
      <c r="O4" s="12">
        <f>Checks!O3</f>
        <v>44876</v>
      </c>
      <c r="P4" s="12">
        <f>Checks!P3</f>
        <v>44942</v>
      </c>
      <c r="Q4" s="11">
        <f>Checks!Q4</f>
        <v>0</v>
      </c>
      <c r="R4" s="14"/>
      <c r="S4" s="15"/>
      <c r="T4" s="15"/>
      <c r="U4" s="15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 spans="1:38" x14ac:dyDescent="0.25">
      <c r="A5" s="11" t="str">
        <f>Checks!A4</f>
        <v>zero</v>
      </c>
      <c r="B5" s="11">
        <f>Checks!B4</f>
        <v>0</v>
      </c>
      <c r="C5" s="11">
        <f>Checks!C4</f>
        <v>0</v>
      </c>
      <c r="D5" s="11">
        <f>Checks!D4</f>
        <v>0</v>
      </c>
      <c r="E5" s="11">
        <f>Checks!E4</f>
        <v>0</v>
      </c>
      <c r="F5" s="11">
        <f>Checks!F4</f>
        <v>0</v>
      </c>
      <c r="G5" s="11">
        <f>Checks!G4</f>
        <v>0</v>
      </c>
      <c r="H5" s="11">
        <f>Checks!H4</f>
        <v>0</v>
      </c>
      <c r="I5" s="11">
        <f>Checks!I4</f>
        <v>0</v>
      </c>
      <c r="J5" s="11">
        <f>Checks!J4</f>
        <v>0</v>
      </c>
      <c r="K5" s="11">
        <f>Checks!K4</f>
        <v>0</v>
      </c>
      <c r="L5" s="11">
        <f>Checks!L4</f>
        <v>0</v>
      </c>
      <c r="M5" s="11">
        <f>Checks!M4</f>
        <v>0</v>
      </c>
      <c r="N5" s="11">
        <f>Checks!N4</f>
        <v>0</v>
      </c>
      <c r="O5" s="11">
        <f>Checks!O4</f>
        <v>0</v>
      </c>
      <c r="P5" s="11">
        <f>Checks!P4</f>
        <v>0</v>
      </c>
      <c r="Q5" s="11">
        <f>Checks!Q5</f>
        <v>-4.7963199999348136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 spans="1:38" x14ac:dyDescent="0.25">
      <c r="A6" s="11" t="str">
        <f>Checks!A5</f>
        <v>ah11a1</v>
      </c>
      <c r="B6" s="13">
        <f>Checks!B5</f>
        <v>-4.883399999035217</v>
      </c>
      <c r="C6" s="13">
        <f>Checks!C5</f>
        <v>-4.8560700001045918</v>
      </c>
      <c r="D6" s="13">
        <f>Checks!D5</f>
        <v>-4.7940799999715198</v>
      </c>
      <c r="E6" s="13">
        <f>Checks!E5</f>
        <v>-4.8738399999095536</v>
      </c>
      <c r="F6" s="13">
        <f>Checks!F5</f>
        <v>-4.8285900000513324</v>
      </c>
      <c r="G6" s="13">
        <f>Checks!G5</f>
        <v>-4.9874400010932094</v>
      </c>
      <c r="H6" s="13">
        <f>Checks!H5</f>
        <v>-4.8415200010101431</v>
      </c>
      <c r="I6" s="13">
        <f>Checks!I5</f>
        <v>-4.8350599990323504</v>
      </c>
      <c r="J6" s="13">
        <f>Checks!J5</f>
        <v>-4.8678399999682229</v>
      </c>
      <c r="K6" s="13">
        <f>Checks!K5</f>
        <v>-4.8638099990796677</v>
      </c>
      <c r="L6" s="13">
        <f>Checks!L5</f>
        <v>-4.8235500000784102</v>
      </c>
      <c r="M6" s="13">
        <f>Checks!M5</f>
        <v>-4.8479900002132057</v>
      </c>
      <c r="N6" s="13">
        <f>Checks!N5</f>
        <v>-4.8353900000588554</v>
      </c>
      <c r="O6" s="13">
        <f>Checks!O5</f>
        <v>-4.8281400000140993</v>
      </c>
      <c r="P6" s="13">
        <f>Checks!P5</f>
        <v>-4.8097700001594932</v>
      </c>
      <c r="Q6" s="11">
        <f>Checks!Q6</f>
        <v>-4.5534199999322142</v>
      </c>
      <c r="R6" s="14"/>
      <c r="S6" s="16"/>
      <c r="T6" s="16"/>
      <c r="U6" s="16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x14ac:dyDescent="0.25">
      <c r="A7" s="11" t="str">
        <f>Checks!A6</f>
        <v>ah11b1</v>
      </c>
      <c r="B7" s="13">
        <f>Checks!B6</f>
        <v>-4.6426999989926019</v>
      </c>
      <c r="C7" s="13">
        <f>Checks!C6</f>
        <v>-4.6096699999234234</v>
      </c>
      <c r="D7" s="13">
        <f>Checks!D6</f>
        <v>-4.6063800009834752</v>
      </c>
      <c r="E7" s="13">
        <f>Checks!E6</f>
        <v>-4.6588399998839423</v>
      </c>
      <c r="F7" s="13">
        <f>Checks!F6</f>
        <v>-4.6278900000986853</v>
      </c>
      <c r="G7" s="13">
        <f>Checks!G6</f>
        <v>-4.736240000070798</v>
      </c>
      <c r="H7" s="13">
        <f>Checks!H6</f>
        <v>-4.6023199999814155</v>
      </c>
      <c r="I7" s="13">
        <f>Checks!I6</f>
        <v>-4.5855599989277538</v>
      </c>
      <c r="J7" s="13">
        <f>Checks!J6</f>
        <v>-4.6021400000775445</v>
      </c>
      <c r="K7" s="13">
        <f>Checks!K6</f>
        <v>-4.6020099990675876</v>
      </c>
      <c r="L7" s="13">
        <f>Checks!L6</f>
        <v>-4.5626500001407964</v>
      </c>
      <c r="M7" s="13">
        <f>Checks!M6</f>
        <v>-4.5960900001320768</v>
      </c>
      <c r="N7" s="13">
        <f>Checks!N6</f>
        <v>-4.5714900000950651</v>
      </c>
      <c r="O7" s="13">
        <f>Checks!O6</f>
        <v>-4.5807399999722351</v>
      </c>
      <c r="P7" s="13">
        <f>Checks!P6</f>
        <v>-4.5592699999721562</v>
      </c>
      <c r="Q7" s="11">
        <f>Checks!Q7</f>
        <v>-4.2</v>
      </c>
      <c r="R7" s="14"/>
      <c r="S7" s="16"/>
      <c r="T7" s="16"/>
      <c r="U7" s="16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</row>
    <row r="8" spans="1:38" x14ac:dyDescent="0.25">
      <c r="A8" s="11" t="str">
        <f>Checks!A7</f>
        <v>ah11c1</v>
      </c>
      <c r="B8" s="13">
        <f>Checks!B7</f>
        <v>-4.2</v>
      </c>
      <c r="C8" s="13">
        <f>Checks!C7</f>
        <v>-4.2</v>
      </c>
      <c r="D8" s="13">
        <f>Checks!D7</f>
        <v>-4.2</v>
      </c>
      <c r="E8" s="13">
        <f>Checks!E7</f>
        <v>-4.2</v>
      </c>
      <c r="F8" s="13">
        <f>Checks!F7</f>
        <v>-4.2</v>
      </c>
      <c r="G8" s="13">
        <f>Checks!G7</f>
        <v>-4.2</v>
      </c>
      <c r="H8" s="13">
        <f>Checks!H7</f>
        <v>-4.2</v>
      </c>
      <c r="I8" s="13">
        <f>Checks!I7</f>
        <v>-4.2</v>
      </c>
      <c r="J8" s="13">
        <f>Checks!J7</f>
        <v>-4.2</v>
      </c>
      <c r="K8" s="13">
        <f>Checks!K7</f>
        <v>-4.2</v>
      </c>
      <c r="L8" s="13">
        <f>Checks!L7</f>
        <v>-4.2</v>
      </c>
      <c r="M8" s="13">
        <f>Checks!M7</f>
        <v>-4.2</v>
      </c>
      <c r="N8" s="13">
        <f>Checks!N7</f>
        <v>-4.2</v>
      </c>
      <c r="O8" s="13">
        <f>Checks!O7</f>
        <v>-4.2</v>
      </c>
      <c r="P8" s="13">
        <f>Checks!P7</f>
        <v>-4.2</v>
      </c>
      <c r="Q8" s="11">
        <f>Checks!Q8</f>
        <v>-4.1871999999401242</v>
      </c>
      <c r="R8" s="14"/>
      <c r="S8" s="16"/>
      <c r="T8" s="16"/>
      <c r="U8" s="16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</row>
    <row r="9" spans="1:38" x14ac:dyDescent="0.25">
      <c r="A9" s="11" t="str">
        <f>Checks!A8</f>
        <v>ah11d1</v>
      </c>
      <c r="B9" s="13">
        <f>Checks!B8</f>
        <v>-4.2615999989905804</v>
      </c>
      <c r="C9" s="13">
        <f>Checks!C8</f>
        <v>-4.2601999999849669</v>
      </c>
      <c r="D9" s="13">
        <f>Checks!D8</f>
        <v>-4.253599999993992</v>
      </c>
      <c r="E9" s="13">
        <f>Checks!E8</f>
        <v>-4.2538000001215623</v>
      </c>
      <c r="F9" s="13">
        <f>Checks!F8</f>
        <v>-4.2527000000305479</v>
      </c>
      <c r="G9" s="13">
        <f>Checks!G8</f>
        <v>-4.2498000000126455</v>
      </c>
      <c r="H9" s="13">
        <f>Checks!H8</f>
        <v>-4.2498000010118462</v>
      </c>
      <c r="I9" s="13">
        <f>Checks!I8</f>
        <v>-4.2505999998567932</v>
      </c>
      <c r="J9" s="13">
        <f>Checks!J8</f>
        <v>-4.2500000000291935</v>
      </c>
      <c r="K9" s="13">
        <f>Checks!K8</f>
        <v>-4.2560999999787983</v>
      </c>
      <c r="L9" s="13">
        <f>Checks!L8</f>
        <v>-4.2429000001078707</v>
      </c>
      <c r="M9" s="13">
        <f>Checks!M8</f>
        <v>-4.2383000000603319</v>
      </c>
      <c r="N9" s="13">
        <f>Checks!N8</f>
        <v>-4.2285000000266324</v>
      </c>
      <c r="O9" s="13">
        <f>Checks!O8</f>
        <v>-4.2252000000866561</v>
      </c>
      <c r="P9" s="13">
        <f>Checks!P8</f>
        <v>-4.2074000000571674</v>
      </c>
      <c r="Q9" s="11">
        <f>Checks!Q9</f>
        <v>-4.7966199997375911</v>
      </c>
      <c r="R9" s="14"/>
      <c r="S9" s="16"/>
      <c r="T9" s="16"/>
      <c r="U9" s="16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</row>
    <row r="10" spans="1:38" x14ac:dyDescent="0.25">
      <c r="A10" s="11" t="str">
        <f>Checks!A9</f>
        <v>ah11a2</v>
      </c>
      <c r="B10" s="13">
        <f>Checks!B9</f>
        <v>-4.8507999990024162</v>
      </c>
      <c r="C10" s="13">
        <f>Checks!C9</f>
        <v>-4.8720699999851478</v>
      </c>
      <c r="D10" s="13">
        <f>Checks!D9</f>
        <v>-4.8333800000035696</v>
      </c>
      <c r="E10" s="13">
        <f>Checks!E9</f>
        <v>-4.896839999925203</v>
      </c>
      <c r="F10" s="13">
        <f>Checks!F9</f>
        <v>-4.8510900001366339</v>
      </c>
      <c r="G10" s="13">
        <f>Checks!G9</f>
        <v>-4.9717400000162302</v>
      </c>
      <c r="H10" s="13">
        <f>Checks!H9</f>
        <v>-4.8469200000136512</v>
      </c>
      <c r="I10" s="13">
        <f>Checks!I9</f>
        <v>-4.8615599988935019</v>
      </c>
      <c r="J10" s="13">
        <f>Checks!J9</f>
        <v>-4.895140000006589</v>
      </c>
      <c r="K10" s="13">
        <f>Checks!K9</f>
        <v>-4.901709998995881</v>
      </c>
      <c r="L10" s="13">
        <f>Checks!L9</f>
        <v>-4.8534500001098566</v>
      </c>
      <c r="M10" s="13">
        <f>Checks!M9</f>
        <v>-4.8669900001199382</v>
      </c>
      <c r="N10" s="13">
        <f>Checks!N9</f>
        <v>-4.8254900001279042</v>
      </c>
      <c r="O10" s="13">
        <f>Checks!O9</f>
        <v>-4.8184399999886738</v>
      </c>
      <c r="P10" s="13">
        <f>Checks!P9</f>
        <v>-4.7981700000878833</v>
      </c>
      <c r="Q10" s="11">
        <f>Checks!Q10</f>
        <v>-5.0150199999334975</v>
      </c>
      <c r="R10" s="14"/>
      <c r="S10" s="16"/>
      <c r="T10" s="16"/>
      <c r="U10" s="16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</row>
    <row r="11" spans="1:38" x14ac:dyDescent="0.25">
      <c r="A11" s="11" t="str">
        <f>Checks!A10</f>
        <v>ah11b2</v>
      </c>
      <c r="B11" s="13">
        <f>Checks!B10</f>
        <v>-5.1200999990799376</v>
      </c>
      <c r="C11" s="13">
        <f>Checks!C10</f>
        <v>-5.1193700000187379</v>
      </c>
      <c r="D11" s="13">
        <f>Checks!D10</f>
        <v>-5.0815800000006037</v>
      </c>
      <c r="E11" s="13">
        <f>Checks!E10</f>
        <v>-5.1440400009497198</v>
      </c>
      <c r="F11" s="13">
        <f>Checks!F10</f>
        <v>-5.1176900001017787</v>
      </c>
      <c r="G11" s="13">
        <f>Checks!G10</f>
        <v>-5.2244400001635514</v>
      </c>
      <c r="H11" s="13">
        <f>Checks!H10</f>
        <v>-5.0911199999017684</v>
      </c>
      <c r="I11" s="13">
        <f>Checks!I10</f>
        <v>-5.1047599989209234</v>
      </c>
      <c r="J11" s="13">
        <f>Checks!J10</f>
        <v>-5.1413399999491647</v>
      </c>
      <c r="K11" s="13">
        <f>Checks!K10</f>
        <v>-5.1268099989689917</v>
      </c>
      <c r="L11" s="13">
        <f>Checks!L10</f>
        <v>-5.0812500000843217</v>
      </c>
      <c r="M11" s="13">
        <f>Checks!M10</f>
        <v>-5.0966900001405877</v>
      </c>
      <c r="N11" s="13">
        <f>Checks!N10</f>
        <v>-5.0592900000437</v>
      </c>
      <c r="O11" s="13">
        <f>Checks!O10</f>
        <v>-5.0556400000747646</v>
      </c>
      <c r="P11" s="13">
        <f>Checks!P10</f>
        <v>-5.0175700000334631</v>
      </c>
      <c r="Q11" s="11">
        <f>Checks!Q11</f>
        <v>-4.5332000000355608</v>
      </c>
      <c r="R11" s="14"/>
      <c r="S11" s="16"/>
      <c r="T11" s="16"/>
      <c r="U11" s="16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</row>
    <row r="12" spans="1:38" x14ac:dyDescent="0.25">
      <c r="A12" s="11" t="str">
        <f>Checks!A11</f>
        <v>ah11c2</v>
      </c>
      <c r="B12" s="13">
        <f>Checks!B11</f>
        <v>-4.61519999904871</v>
      </c>
      <c r="C12" s="13">
        <f>Checks!C11</f>
        <v>-4.627400000946321</v>
      </c>
      <c r="D12" s="13">
        <f>Checks!D11</f>
        <v>-4.6079000009982183</v>
      </c>
      <c r="E12" s="13">
        <f>Checks!E11</f>
        <v>-4.6076999999824695</v>
      </c>
      <c r="F12" s="13">
        <f>Checks!F11</f>
        <v>-4.6083000000321137</v>
      </c>
      <c r="G12" s="13">
        <f>Checks!G11</f>
        <v>-4.5969999999853259</v>
      </c>
      <c r="H12" s="13">
        <f>Checks!H11</f>
        <v>-4.5995000000811546</v>
      </c>
      <c r="I12" s="13">
        <f>Checks!I11</f>
        <v>-4.5942999989847708</v>
      </c>
      <c r="J12" s="13">
        <f>Checks!J11</f>
        <v>-4.6028000001321532</v>
      </c>
      <c r="K12" s="13">
        <f>Checks!K11</f>
        <v>-4.6046999990681146</v>
      </c>
      <c r="L12" s="13">
        <f>Checks!L11</f>
        <v>-4.5967999999687779</v>
      </c>
      <c r="M12" s="13">
        <f>Checks!M11</f>
        <v>-4.5892000001171072</v>
      </c>
      <c r="N12" s="13">
        <f>Checks!N11</f>
        <v>-4.5777000009419497</v>
      </c>
      <c r="O12" s="13">
        <f>Checks!O11</f>
        <v>-4.5816000000433919</v>
      </c>
      <c r="P12" s="13">
        <f>Checks!P11</f>
        <v>-4.562600000025637</v>
      </c>
      <c r="Q12" s="11">
        <f>Checks!Q12</f>
        <v>-3.6940000008769589</v>
      </c>
      <c r="R12" s="14"/>
      <c r="S12" s="16"/>
      <c r="T12" s="16"/>
      <c r="U12" s="16" t="s">
        <v>212</v>
      </c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1:38" x14ac:dyDescent="0.25">
      <c r="A13" s="11" t="str">
        <f>Checks!A12</f>
        <v>ah11d2</v>
      </c>
      <c r="B13" s="13">
        <f>Checks!B12</f>
        <v>-3.7731999989923013</v>
      </c>
      <c r="C13" s="13">
        <f>Checks!C12</f>
        <v>-3.8127000000400999</v>
      </c>
      <c r="D13" s="13">
        <f>Checks!D12</f>
        <v>-3.8610000000396569</v>
      </c>
      <c r="E13" s="13">
        <f>Checks!E12</f>
        <v>-3.8489000000376992</v>
      </c>
      <c r="F13" s="13">
        <f>Checks!F12</f>
        <v>-3.8453000000729007</v>
      </c>
      <c r="G13" s="13">
        <f>Checks!G12</f>
        <v>-3.8346000010749579</v>
      </c>
      <c r="H13" s="13">
        <f>Checks!H12</f>
        <v>-3.8377000009983862</v>
      </c>
      <c r="I13" s="13">
        <f>Checks!I12</f>
        <v>-3.8401999988737687</v>
      </c>
      <c r="J13" s="13">
        <f>Checks!J12</f>
        <v>-3.8451000010555534</v>
      </c>
      <c r="K13" s="13">
        <f>Checks!K12</f>
        <v>-3.852899999036393</v>
      </c>
      <c r="L13" s="13">
        <f>Checks!L12</f>
        <v>-3.8426000009597248</v>
      </c>
      <c r="M13" s="13">
        <f>Checks!M12</f>
        <v>-3.8151000000166322</v>
      </c>
      <c r="N13" s="13">
        <f>Checks!N12</f>
        <v>-3.7945000009767158</v>
      </c>
      <c r="O13" s="13">
        <f>Checks!O12</f>
        <v>-3.7936999999113228</v>
      </c>
      <c r="P13" s="13">
        <f>Checks!P12</f>
        <v>-3.7352999999642664</v>
      </c>
      <c r="Q13" s="11">
        <f>Checks!Q13</f>
        <v>18.118080000194308</v>
      </c>
      <c r="R13" s="14"/>
      <c r="S13" s="16"/>
      <c r="T13" s="16"/>
      <c r="U13" s="16" t="s">
        <v>213</v>
      </c>
      <c r="V13" s="14" t="s">
        <v>214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 spans="1:38" x14ac:dyDescent="0.25">
      <c r="A14" s="11" t="str">
        <f>Checks!A13</f>
        <v>gr10</v>
      </c>
      <c r="B14" s="13">
        <f>Checks!B13</f>
        <v>25.004199990862102</v>
      </c>
      <c r="C14" s="13">
        <f>Checks!C13</f>
        <v>24.948329990125178</v>
      </c>
      <c r="D14" s="13">
        <f>Checks!D13</f>
        <v>4.5719199999281015</v>
      </c>
      <c r="E14" s="13">
        <f>Checks!E13</f>
        <v>18.600260000122031</v>
      </c>
      <c r="F14" s="13">
        <f>Checks!F13</f>
        <v>18.942109999874095</v>
      </c>
      <c r="G14" s="13">
        <f>Checks!G13</f>
        <v>18.057759999977367</v>
      </c>
      <c r="H14" s="13">
        <f>Checks!H13</f>
        <v>18.15848000020635</v>
      </c>
      <c r="I14" s="13">
        <f>Checks!I13</f>
        <v>17.882040001092374</v>
      </c>
      <c r="J14" s="13">
        <f>Checks!J13</f>
        <v>17.885959999973426</v>
      </c>
      <c r="K14" s="13">
        <f>Checks!K13</f>
        <v>17.755390000827358</v>
      </c>
      <c r="L14" s="13">
        <f>Checks!L13</f>
        <v>17.871649989796605</v>
      </c>
      <c r="M14" s="13">
        <f>Checks!M13</f>
        <v>16.705009999849789</v>
      </c>
      <c r="N14" s="13">
        <f>Checks!N13</f>
        <v>16.643109989954201</v>
      </c>
      <c r="O14" s="13">
        <f>Checks!O13</f>
        <v>22.886059999903434</v>
      </c>
      <c r="P14" s="13">
        <f>Checks!P13</f>
        <v>17.596329999879128</v>
      </c>
      <c r="Q14" s="11">
        <f>Checks!Q14</f>
        <v>38.579799999892451</v>
      </c>
      <c r="R14" s="14"/>
      <c r="S14" s="16">
        <f>(D14-E14)/(D$2-E$2)</f>
        <v>4.9084464661280354</v>
      </c>
      <c r="T14" s="16">
        <f>(N14-O14)/(N$2-O$2)</f>
        <v>5.017238616048572</v>
      </c>
      <c r="U14" s="16">
        <f>AVERAGE(S14:T14)*V14</f>
        <v>4.9628425410883032</v>
      </c>
      <c r="V14" s="17">
        <v>1</v>
      </c>
      <c r="W14" s="17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</row>
    <row r="15" spans="1:38" x14ac:dyDescent="0.25">
      <c r="A15" s="11" t="str">
        <f>Checks!A14</f>
        <v>gr100</v>
      </c>
      <c r="B15" s="13">
        <f>Checks!B14</f>
        <v>41.55860000100018</v>
      </c>
      <c r="C15" s="13">
        <f>Checks!C14</f>
        <v>41.520499999957195</v>
      </c>
      <c r="D15" s="13">
        <f>Checks!D14</f>
        <v>31.864499999932665</v>
      </c>
      <c r="E15" s="13">
        <f>Checks!E14</f>
        <v>38.491199999889126</v>
      </c>
      <c r="F15" s="13">
        <f>Checks!F14</f>
        <v>38.625599999796179</v>
      </c>
      <c r="G15" s="13">
        <f>Checks!G14</f>
        <v>38.552599999973381</v>
      </c>
      <c r="H15" s="13">
        <f>Checks!H14</f>
        <v>38.554300000003018</v>
      </c>
      <c r="I15" s="13">
        <f>Checks!I14</f>
        <v>38.555300000973936</v>
      </c>
      <c r="J15" s="13">
        <f>Checks!J14</f>
        <v>38.58229999998828</v>
      </c>
      <c r="K15" s="13">
        <f>Checks!K14</f>
        <v>38.605300001114152</v>
      </c>
      <c r="L15" s="13">
        <f>Checks!L14</f>
        <v>38.628799999949926</v>
      </c>
      <c r="M15" s="13">
        <f>Checks!M14</f>
        <v>38.247899999964453</v>
      </c>
      <c r="N15" s="13">
        <f>Checks!N14</f>
        <v>38.235699999954221</v>
      </c>
      <c r="O15" s="13">
        <f>Checks!O14</f>
        <v>41.074200000000594</v>
      </c>
      <c r="P15" s="13">
        <f>Checks!P14</f>
        <v>38.420900000067682</v>
      </c>
      <c r="Q15" s="11">
        <f>Checks!Q15</f>
        <v>29.927972000086438</v>
      </c>
      <c r="R15" s="14"/>
      <c r="S15" s="16">
        <f t="shared" ref="S15:S17" si="0">(D15-E15)/(D$2-E$2)</f>
        <v>2.3186494051632121</v>
      </c>
      <c r="T15" s="16">
        <f t="shared" ref="T15:T17" si="1">(N15-O15)/(N$2-O$2)</f>
        <v>2.28120228244505</v>
      </c>
      <c r="U15" s="16">
        <f>AVERAGE(S15:T15)*V15</f>
        <v>2.299925843804131</v>
      </c>
      <c r="V15" s="17">
        <v>1</v>
      </c>
      <c r="W15" s="17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 spans="1:38" x14ac:dyDescent="0.25">
      <c r="A16" s="11" t="str">
        <f>Checks!A15</f>
        <v>gr1000a</v>
      </c>
      <c r="B16" s="13">
        <f>Checks!B15</f>
        <v>31.941239990850061</v>
      </c>
      <c r="C16" s="13">
        <f>Checks!C15</f>
        <v>31.889716999976319</v>
      </c>
      <c r="D16" s="13">
        <f>Checks!D15</f>
        <v>25.808258000036037</v>
      </c>
      <c r="E16" s="13">
        <f>Checks!E15</f>
        <v>30.014393990095183</v>
      </c>
      <c r="F16" s="13">
        <f>Checks!F15</f>
        <v>30.151448989777823</v>
      </c>
      <c r="G16" s="13">
        <f>Checks!G15</f>
        <v>30.310883999860909</v>
      </c>
      <c r="H16" s="13">
        <f>Checks!H15</f>
        <v>30.277181989900352</v>
      </c>
      <c r="I16" s="13">
        <f>Checks!I15</f>
        <v>30.378526001083355</v>
      </c>
      <c r="J16" s="13">
        <f>Checks!J15</f>
        <v>30.454633999986473</v>
      </c>
      <c r="K16" s="13">
        <f>Checks!K15</f>
        <v>30.471291000987204</v>
      </c>
      <c r="L16" s="13">
        <f>Checks!L15</f>
        <v>30.486314989929024</v>
      </c>
      <c r="M16" s="13">
        <f>Checks!M15</f>
        <v>30.201188999999555</v>
      </c>
      <c r="N16" s="13">
        <f>Checks!N15</f>
        <v>30.225358999889966</v>
      </c>
      <c r="O16" s="13">
        <f>Checks!O15</f>
        <v>31.793813989887436</v>
      </c>
      <c r="P16" s="13">
        <f>Checks!P15</f>
        <v>29.850756999914889</v>
      </c>
      <c r="Q16" s="11">
        <f>Checks!Q16</f>
        <v>14.02597199019338</v>
      </c>
      <c r="R16" s="14"/>
      <c r="S16" s="16">
        <f t="shared" si="0"/>
        <v>1.4717060846952921</v>
      </c>
      <c r="T16" s="16">
        <f t="shared" si="1"/>
        <v>1.2605119263822799</v>
      </c>
      <c r="U16" s="16">
        <f>AVERAGE(S16:T16)*V16</f>
        <v>1.3661090055387861</v>
      </c>
      <c r="V16" s="17">
        <v>1</v>
      </c>
      <c r="W16" s="17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 spans="1:38" x14ac:dyDescent="0.25">
      <c r="A17" s="11" t="str">
        <f>Checks!A16</f>
        <v>gr1000b</v>
      </c>
      <c r="B17" s="13">
        <f>Checks!B16</f>
        <v>16.14124000094284</v>
      </c>
      <c r="C17" s="13">
        <f>Checks!C16</f>
        <v>16.104716989993921</v>
      </c>
      <c r="D17" s="13">
        <f>Checks!D16</f>
        <v>9.6782579999219287</v>
      </c>
      <c r="E17" s="13">
        <f>Checks!E16</f>
        <v>13.080393990071197</v>
      </c>
      <c r="F17" s="13">
        <f>Checks!F16</f>
        <v>14.013448999881977</v>
      </c>
      <c r="G17" s="13">
        <f>Checks!G16</f>
        <v>14.098883989853466</v>
      </c>
      <c r="H17" s="13">
        <f>Checks!H16</f>
        <v>14.055181999937698</v>
      </c>
      <c r="I17" s="13">
        <f>Checks!I16</f>
        <v>14.156525990914641</v>
      </c>
      <c r="J17" s="13">
        <f>Checks!J16</f>
        <v>14.211633990078614</v>
      </c>
      <c r="K17" s="13">
        <f>Checks!K16</f>
        <v>14.221291000936258</v>
      </c>
      <c r="L17" s="13">
        <f>Checks!L16</f>
        <v>14.230314989825725</v>
      </c>
      <c r="M17" s="22">
        <f>Checks!M16</f>
        <v>4.647188999960842</v>
      </c>
      <c r="N17" s="22">
        <f>Checks!N16</f>
        <v>2.628359000010664</v>
      </c>
      <c r="O17" s="22">
        <f>Checks!O16</f>
        <v>3.6688139998339677</v>
      </c>
      <c r="P17" s="13">
        <f>Checks!P16</f>
        <v>13.465757000018268</v>
      </c>
      <c r="Q17" s="11">
        <f>Checks!Q17</f>
        <v>-11.450720000073762</v>
      </c>
      <c r="R17" s="14"/>
      <c r="S17" s="16">
        <f t="shared" si="0"/>
        <v>1.1903904794084212</v>
      </c>
      <c r="T17" s="16">
        <f t="shared" si="1"/>
        <v>0.83617696682737641</v>
      </c>
      <c r="U17" s="16">
        <f>AVERAGE(S17:T17)*V17</f>
        <v>1.0132837231178988</v>
      </c>
      <c r="V17" s="17">
        <v>1</v>
      </c>
      <c r="W17" s="17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</row>
    <row r="18" spans="1:38" x14ac:dyDescent="0.25">
      <c r="A18" s="11" t="str">
        <f>Checks!A17</f>
        <v>es13</v>
      </c>
      <c r="B18" s="13">
        <f>Checks!B17</f>
        <v>-12.983199999196078</v>
      </c>
      <c r="C18" s="13">
        <f>Checks!C17</f>
        <v>-12.923370000018881</v>
      </c>
      <c r="D18" s="13">
        <f>Checks!D17</f>
        <v>-19.017280000190002</v>
      </c>
      <c r="E18" s="13">
        <f>Checks!E17</f>
        <v>-14.511740000212843</v>
      </c>
      <c r="F18" s="13">
        <f>Checks!F17</f>
        <v>-13.067790000088859</v>
      </c>
      <c r="G18" s="13">
        <f>Checks!G17</f>
        <v>-12.1226400020449</v>
      </c>
      <c r="H18" s="13">
        <f>Checks!H17</f>
        <v>-11.891920000052476</v>
      </c>
      <c r="I18" s="13">
        <f>Checks!I17</f>
        <v>-11.323359999083866</v>
      </c>
      <c r="J18" s="13">
        <f>Checks!J17</f>
        <v>-11.565840002160339</v>
      </c>
      <c r="K18" s="13">
        <f>Checks!K17</f>
        <v>-11.472309999084569</v>
      </c>
      <c r="L18" s="13">
        <f>Checks!L17</f>
        <v>-11.337649999933159</v>
      </c>
      <c r="M18" s="13">
        <f>Checks!M17</f>
        <v>-11.369689999919625</v>
      </c>
      <c r="N18" s="13">
        <f>Checks!N17</f>
        <v>-11.256589999998585</v>
      </c>
      <c r="O18" s="13">
        <f>Checks!O17</f>
        <v>-8.519140000097476</v>
      </c>
      <c r="P18" s="13">
        <f>Checks!P17</f>
        <v>-11.545970000072199</v>
      </c>
      <c r="Q18" s="11">
        <f>Checks!Q18</f>
        <v>18.764879999975985</v>
      </c>
      <c r="R18" s="14"/>
      <c r="S18" s="16"/>
      <c r="T18" s="16"/>
      <c r="U18" s="16"/>
      <c r="V18" s="17"/>
      <c r="W18" s="17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</row>
    <row r="19" spans="1:38" x14ac:dyDescent="0.25">
      <c r="A19" s="11" t="str">
        <f>Checks!A18</f>
        <v>es16</v>
      </c>
      <c r="B19" s="13">
        <f>Checks!B18</f>
        <v>16.797400000832834</v>
      </c>
      <c r="C19" s="13">
        <f>Checks!C18</f>
        <v>16.910030000048852</v>
      </c>
      <c r="D19" s="13">
        <f>Checks!D18</f>
        <v>12.236919997753208</v>
      </c>
      <c r="E19" s="13">
        <f>Checks!E18</f>
        <v>15.723060000093252</v>
      </c>
      <c r="F19" s="13">
        <f>Checks!F18</f>
        <v>16.670610000001123</v>
      </c>
      <c r="G19" s="13">
        <f>Checks!G18</f>
        <v>17.354960000003121</v>
      </c>
      <c r="H19" s="13">
        <f>Checks!H18</f>
        <v>17.603879997839282</v>
      </c>
      <c r="I19" s="13">
        <f>Checks!I18</f>
        <v>17.839640001136896</v>
      </c>
      <c r="J19" s="13">
        <f>Checks!J18</f>
        <v>18.034759999850696</v>
      </c>
      <c r="K19" s="13">
        <f>Checks!K18</f>
        <v>18.018490001058023</v>
      </c>
      <c r="L19" s="13">
        <f>Checks!L18</f>
        <v>18.168149999896226</v>
      </c>
      <c r="M19" s="13">
        <f>Checks!M18</f>
        <v>18.247510000023208</v>
      </c>
      <c r="N19" s="13">
        <f>Checks!N18</f>
        <v>18.357609999918072</v>
      </c>
      <c r="O19" s="13">
        <f>Checks!O18</f>
        <v>20.405460000048929</v>
      </c>
      <c r="P19" s="13">
        <f>Checks!P18</f>
        <v>18.60222999984094</v>
      </c>
      <c r="Q19" s="11">
        <f>Checks!Q19</f>
        <v>102.1038799981042</v>
      </c>
      <c r="R19" s="14"/>
      <c r="S19" s="16"/>
      <c r="T19" s="16"/>
      <c r="U19" s="16"/>
      <c r="V19" s="17"/>
      <c r="W19" s="17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</row>
    <row r="20" spans="1:38" x14ac:dyDescent="0.25">
      <c r="A20" s="11" t="str">
        <f>Checks!A19</f>
        <v>es14</v>
      </c>
      <c r="B20" s="13">
        <f>Checks!B19</f>
        <v>98.922200000860258</v>
      </c>
      <c r="C20" s="13">
        <f>Checks!C19</f>
        <v>98.934630000001334</v>
      </c>
      <c r="D20" s="13">
        <f>Checks!D19</f>
        <v>90.583119997998708</v>
      </c>
      <c r="E20" s="13">
        <f>Checks!E19</f>
        <v>95.131859999884924</v>
      </c>
      <c r="F20" s="13">
        <f>Checks!F19</f>
        <v>97.977209999831928</v>
      </c>
      <c r="G20" s="13">
        <f>Checks!G19</f>
        <v>95.787359999831324</v>
      </c>
      <c r="H20" s="13">
        <f>Checks!H19</f>
        <v>98.237279999922919</v>
      </c>
      <c r="I20" s="13">
        <f>Checks!I19</f>
        <v>101.4764400010346</v>
      </c>
      <c r="J20" s="13">
        <f>Checks!J19</f>
        <v>100.10055999988141</v>
      </c>
      <c r="K20" s="13">
        <f>Checks!K19</f>
        <v>101.01329000090507</v>
      </c>
      <c r="L20" s="13">
        <f>Checks!L19</f>
        <v>101.40114999991211</v>
      </c>
      <c r="M20" s="13">
        <f>Checks!M19</f>
        <v>100.8491099999773</v>
      </c>
      <c r="N20" s="13">
        <f>Checks!N19</f>
        <v>101.14220999991461</v>
      </c>
      <c r="O20" s="13">
        <f>Checks!O19</f>
        <v>104.82465999984568</v>
      </c>
      <c r="P20" s="13">
        <f>Checks!P19</f>
        <v>101.21662999996593</v>
      </c>
      <c r="Q20" s="11">
        <f>Checks!Q20</f>
        <v>158.21197200017599</v>
      </c>
      <c r="R20" s="14"/>
      <c r="S20" s="16"/>
      <c r="T20" s="16"/>
      <c r="U20" s="16"/>
      <c r="V20" s="17"/>
      <c r="W20" s="17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spans="1:38" x14ac:dyDescent="0.25">
      <c r="A21" s="11" t="str">
        <f>Checks!A20</f>
        <v>ub1000</v>
      </c>
      <c r="B21" s="13">
        <f>Checks!B20</f>
        <v>164.04424000094761</v>
      </c>
      <c r="C21" s="13">
        <f>Checks!C20</f>
        <v>165.06371698988698</v>
      </c>
      <c r="D21" s="13">
        <f>Checks!D20</f>
        <v>147.40925799007076</v>
      </c>
      <c r="E21" s="13">
        <f>Checks!E20</f>
        <v>145.96639399989542</v>
      </c>
      <c r="F21" s="13">
        <f>Checks!F20</f>
        <v>141.97544898998248</v>
      </c>
      <c r="G21" s="13">
        <f>Checks!G20</f>
        <v>154.30988400001323</v>
      </c>
      <c r="H21" s="13">
        <f>Checks!H20</f>
        <v>155.03718199994941</v>
      </c>
      <c r="I21" s="13">
        <f>Checks!I20</f>
        <v>154.10752600110018</v>
      </c>
      <c r="J21" s="13">
        <f>Checks!J20</f>
        <v>155.24963400005288</v>
      </c>
      <c r="K21" s="13">
        <f>Checks!K20</f>
        <v>149.78429100088593</v>
      </c>
      <c r="L21" s="13">
        <f>Checks!L20</f>
        <v>151.17831498979581</v>
      </c>
      <c r="M21" s="13">
        <f>Checks!M20</f>
        <v>149.31018899989465</v>
      </c>
      <c r="N21" s="13">
        <f>Checks!N20</f>
        <v>153.99135899985959</v>
      </c>
      <c r="O21" s="13">
        <f>Checks!O20</f>
        <v>156.50781399990518</v>
      </c>
      <c r="P21" s="13">
        <f>Checks!P20</f>
        <v>168.98175699998492</v>
      </c>
      <c r="Q21" s="11">
        <f>Checks!Q21</f>
        <v>37.329080000102245</v>
      </c>
      <c r="R21" s="14"/>
      <c r="S21" s="16"/>
      <c r="T21" s="16"/>
      <c r="U21" s="16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spans="1:38" x14ac:dyDescent="0.25">
      <c r="A22" s="11" t="str">
        <f>Checks!A21</f>
        <v>PC1</v>
      </c>
      <c r="B22" s="13">
        <f>Checks!B21</f>
        <v>36.462200000984858</v>
      </c>
      <c r="C22" s="13">
        <f>Checks!C21</f>
        <v>36.588329999985604</v>
      </c>
      <c r="D22" s="14"/>
      <c r="E22" s="14"/>
      <c r="F22" s="14"/>
      <c r="G22" s="13">
        <f>Checks!G21</f>
        <v>34.514759999836087</v>
      </c>
      <c r="H22" s="13">
        <f>Checks!H21</f>
        <v>33.60247999995989</v>
      </c>
      <c r="I22" s="13">
        <f>Checks!I21</f>
        <v>67.583040001105473</v>
      </c>
      <c r="J22" s="13">
        <f>Checks!J21</f>
        <v>33.989960000156728</v>
      </c>
      <c r="K22" s="13">
        <f>Checks!K21</f>
        <v>33.718390000890587</v>
      </c>
      <c r="L22" s="13">
        <f>Checks!L21</f>
        <v>33.755649999754645</v>
      </c>
      <c r="M22" s="13">
        <f>Checks!M21</f>
        <v>33.085009999998839</v>
      </c>
      <c r="N22" s="13">
        <f>Checks!N21</f>
        <v>33.213109999828717</v>
      </c>
      <c r="O22" s="13">
        <f>Checks!O21</f>
        <v>33.109059999990343</v>
      </c>
      <c r="P22" s="13">
        <f>Checks!P21</f>
        <v>34.864330000004863</v>
      </c>
      <c r="Q22" s="11">
        <f>Checks!Q22</f>
        <v>11.366079990203541</v>
      </c>
      <c r="R22" s="14"/>
      <c r="S22" s="16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</row>
    <row r="23" spans="1:38" x14ac:dyDescent="0.25">
      <c r="A23" s="11" t="str">
        <f>Checks!A22</f>
        <v>PC2</v>
      </c>
      <c r="B23" s="13">
        <f>Checks!B22</f>
        <v>12.731200001013558</v>
      </c>
      <c r="C23" s="13">
        <f>Checks!C22</f>
        <v>12.854329999988128</v>
      </c>
      <c r="D23" s="14"/>
      <c r="E23" s="14"/>
      <c r="F23" s="14"/>
      <c r="G23" s="13">
        <f>Checks!G22</f>
        <v>8.0947599998646247</v>
      </c>
      <c r="H23" s="13">
        <f>Checks!H22</f>
        <v>7.6464799999662416</v>
      </c>
      <c r="I23" s="13">
        <f>Checks!I22</f>
        <v>26.517040001015939</v>
      </c>
      <c r="J23" s="13">
        <f>Checks!J22</f>
        <v>8.197959999965736</v>
      </c>
      <c r="K23" s="13">
        <f>Checks!K22</f>
        <v>7.6863900008259192</v>
      </c>
      <c r="L23" s="13">
        <f>Checks!L22</f>
        <v>7.7456499997339092</v>
      </c>
      <c r="M23" s="13">
        <f>Checks!M22</f>
        <v>7.2410099997241941</v>
      </c>
      <c r="N23" s="13">
        <f>Checks!N22</f>
        <v>7.229109999960829</v>
      </c>
      <c r="O23" s="13">
        <f>Checks!O22</f>
        <v>7.0840600000607692</v>
      </c>
      <c r="P23" s="13">
        <f>Checks!P22</f>
        <v>8.8763299998060141</v>
      </c>
      <c r="Q23" s="11">
        <f>Checks!Q23</f>
        <v>8.9820800001181134</v>
      </c>
      <c r="R23" s="14"/>
      <c r="S23" s="16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</row>
    <row r="24" spans="1:38" x14ac:dyDescent="0.25">
      <c r="A24" s="11" t="str">
        <f>Checks!A23</f>
        <v>PC3</v>
      </c>
      <c r="B24" s="13">
        <f>Checks!B23</f>
        <v>10.14820000090209</v>
      </c>
      <c r="C24" s="13">
        <f>Checks!C23</f>
        <v>10.29232999983785</v>
      </c>
      <c r="D24" s="14"/>
      <c r="E24" s="14"/>
      <c r="F24" s="14"/>
      <c r="G24" s="13">
        <f>Checks!G23</f>
        <v>6.0907599999202402</v>
      </c>
      <c r="H24" s="13">
        <f>Checks!H23</f>
        <v>5.5044800001500063</v>
      </c>
      <c r="I24" s="13">
        <f>Checks!I23</f>
        <v>17.250040000980942</v>
      </c>
      <c r="J24" s="13">
        <f>Checks!J23</f>
        <v>5.982960000104657</v>
      </c>
      <c r="K24" s="13">
        <f>Checks!K23</f>
        <v>5.558390001057826</v>
      </c>
      <c r="L24" s="13">
        <f>Checks!L23</f>
        <v>5.6246499998788648</v>
      </c>
      <c r="M24" s="13">
        <f>Checks!M23</f>
        <v>4.9910099998537829</v>
      </c>
      <c r="N24" s="13">
        <f>Checks!N23</f>
        <v>5.0501099999697798</v>
      </c>
      <c r="O24" s="13">
        <f>Checks!O23</f>
        <v>4.8800599999996122</v>
      </c>
      <c r="P24" s="13">
        <f>Checks!P23</f>
        <v>6.638330000040308</v>
      </c>
      <c r="Q24" s="11">
        <f>Checks!Q24</f>
        <v>18.599080000024397</v>
      </c>
      <c r="R24" s="14"/>
      <c r="S24" s="16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 spans="1:38" x14ac:dyDescent="0.25">
      <c r="A25" s="11" t="str">
        <f>Checks!A24</f>
        <v>PC4</v>
      </c>
      <c r="B25" s="13">
        <f>Checks!B24</f>
        <v>20.669200000998682</v>
      </c>
      <c r="C25" s="13">
        <f>Checks!C24</f>
        <v>20.817330000043359</v>
      </c>
      <c r="D25" s="14"/>
      <c r="E25" s="14"/>
      <c r="F25" s="14"/>
      <c r="G25" s="13">
        <f>Checks!G24</f>
        <v>15.228759999939872</v>
      </c>
      <c r="H25" s="13">
        <f>Checks!H24</f>
        <v>14.954480000005415</v>
      </c>
      <c r="I25" s="13">
        <f>Checks!I24</f>
        <v>24.492040001110364</v>
      </c>
      <c r="J25" s="13">
        <f>Checks!J24</f>
        <v>15.566959990175082</v>
      </c>
      <c r="K25" s="13">
        <f>Checks!K24</f>
        <v>14.962389990889928</v>
      </c>
      <c r="L25" s="13">
        <f>Checks!L24</f>
        <v>15.031649999951195</v>
      </c>
      <c r="M25" s="13">
        <f>Checks!M24</f>
        <v>14.567009999920426</v>
      </c>
      <c r="N25" s="13">
        <f>Checks!N24</f>
        <v>14.507109999960281</v>
      </c>
      <c r="O25" s="13">
        <f>Checks!O24</f>
        <v>14.332060000020501</v>
      </c>
      <c r="P25" s="13">
        <f>Checks!P24</f>
        <v>16.082329999843363</v>
      </c>
      <c r="Q25" s="11">
        <f>Checks!Q25</f>
        <v>-2.0129199998955203</v>
      </c>
      <c r="R25" s="14"/>
      <c r="S25" s="16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  <row r="26" spans="1:38" x14ac:dyDescent="0.25">
      <c r="A26" s="11" t="str">
        <f>Checks!A25</f>
        <v>PC5</v>
      </c>
      <c r="B26" s="13">
        <f>Checks!B25</f>
        <v>-2.9795999990547459</v>
      </c>
      <c r="C26" s="13">
        <f>Checks!C25</f>
        <v>-2.8503700000195495</v>
      </c>
      <c r="D26" s="14"/>
      <c r="E26" s="14"/>
      <c r="F26" s="14"/>
      <c r="G26" s="13">
        <f>Checks!G25</f>
        <v>-3.4948400000525313</v>
      </c>
      <c r="H26" s="13">
        <f>Checks!H25</f>
        <v>-5.6396199998767402</v>
      </c>
      <c r="I26" s="13">
        <f>Checks!I25</f>
        <v>3.3290399909055948</v>
      </c>
      <c r="J26" s="13">
        <f>Checks!J25</f>
        <v>-5.6829399999083394</v>
      </c>
      <c r="K26" s="13">
        <f>Checks!K25</f>
        <v>-5.3214099990830563</v>
      </c>
      <c r="L26" s="13">
        <f>Checks!L25</f>
        <v>-5.4150500001695265</v>
      </c>
      <c r="M26" s="13">
        <f>Checks!M25</f>
        <v>-6.096490000041773</v>
      </c>
      <c r="N26" s="13">
        <f>Checks!N25</f>
        <v>-5.8368900001006994</v>
      </c>
      <c r="O26" s="13">
        <f>Checks!O25</f>
        <v>-5.7111400001321941</v>
      </c>
      <c r="P26" s="13">
        <f>Checks!P25</f>
        <v>-4.2287700000489723</v>
      </c>
      <c r="Q26" s="11">
        <f>Checks!Q26</f>
        <v>19.112080000059688</v>
      </c>
      <c r="R26" s="14"/>
      <c r="S26" s="16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</row>
    <row r="27" spans="1:38" x14ac:dyDescent="0.25">
      <c r="A27" s="11" t="str">
        <f>Checks!A26</f>
        <v>PC6</v>
      </c>
      <c r="B27" s="13">
        <f>Checks!B26</f>
        <v>21.453200001030108</v>
      </c>
      <c r="C27" s="13">
        <f>Checks!C26</f>
        <v>21.599329999909305</v>
      </c>
      <c r="D27" s="14"/>
      <c r="E27" s="14"/>
      <c r="F27" s="14"/>
      <c r="G27" s="13">
        <f>Checks!G26</f>
        <v>15.76575999996253</v>
      </c>
      <c r="H27" s="13">
        <f>Checks!H26</f>
        <v>15.617480000017263</v>
      </c>
      <c r="I27" s="13">
        <f>Checks!I26</f>
        <v>23.992039991048468</v>
      </c>
      <c r="J27" s="13">
        <f>Checks!J26</f>
        <v>16.273960000044756</v>
      </c>
      <c r="K27" s="13">
        <f>Checks!K26</f>
        <v>15.59939000096298</v>
      </c>
      <c r="L27" s="13">
        <f>Checks!L26</f>
        <v>15.678649989979458</v>
      </c>
      <c r="M27" s="13">
        <f>Checks!M26</f>
        <v>15.245009999841113</v>
      </c>
      <c r="N27" s="13">
        <f>Checks!N26</f>
        <v>15.183109999937532</v>
      </c>
      <c r="O27" s="13">
        <f>Checks!O26</f>
        <v>14.991059989931426</v>
      </c>
      <c r="P27" s="13">
        <f>Checks!P26</f>
        <v>16.715329999815491</v>
      </c>
      <c r="Q27" s="11">
        <f>Checks!Q27</f>
        <v>31.574080000217091</v>
      </c>
      <c r="R27" s="14"/>
      <c r="S27" s="16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</row>
    <row r="28" spans="1:38" x14ac:dyDescent="0.25">
      <c r="A28" s="11" t="str">
        <f>Checks!A27</f>
        <v>PC7</v>
      </c>
      <c r="B28" s="13">
        <f>Checks!B27</f>
        <v>29.823200001009891</v>
      </c>
      <c r="C28" s="13">
        <f>Checks!C27</f>
        <v>29.971329999832523</v>
      </c>
      <c r="D28" s="14"/>
      <c r="E28" s="14"/>
      <c r="F28" s="14"/>
      <c r="G28" s="13">
        <f>Checks!G27</f>
        <v>28.866759999922369</v>
      </c>
      <c r="H28" s="13">
        <f>Checks!H27</f>
        <v>27.801480000043437</v>
      </c>
      <c r="I28" s="13">
        <f>Checks!I27</f>
        <v>35.187040001170878</v>
      </c>
      <c r="J28" s="13">
        <f>Checks!J27</f>
        <v>28.142959999986932</v>
      </c>
      <c r="K28" s="13">
        <f>Checks!K27</f>
        <v>27.918390001056874</v>
      </c>
      <c r="L28" s="13">
        <f>Checks!L27</f>
        <v>27.963649999916722</v>
      </c>
      <c r="M28" s="13">
        <f>Checks!M27</f>
        <v>27.285009999943082</v>
      </c>
      <c r="N28" s="13">
        <f>Checks!N27</f>
        <v>27.419109999825313</v>
      </c>
      <c r="O28" s="13">
        <f>Checks!O27</f>
        <v>27.378059990100549</v>
      </c>
      <c r="P28" s="13">
        <f>Checks!P27</f>
        <v>29.079329999857944</v>
      </c>
      <c r="Q28" s="11">
        <f>Checks!Q28</f>
        <v>22.522080000207705</v>
      </c>
      <c r="R28" s="14"/>
      <c r="S28" s="16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spans="1:38" x14ac:dyDescent="0.25">
      <c r="A29" s="11" t="str">
        <f>Checks!A28</f>
        <v>PC8</v>
      </c>
      <c r="B29" s="13">
        <f>Checks!B28</f>
        <v>22.785200000884114</v>
      </c>
      <c r="C29" s="13">
        <f>Checks!C28</f>
        <v>22.949329989928362</v>
      </c>
      <c r="D29" s="14"/>
      <c r="E29" s="14"/>
      <c r="F29" s="14"/>
      <c r="G29" s="13">
        <f>Checks!G28</f>
        <v>19.630760000009833</v>
      </c>
      <c r="H29" s="13">
        <f>Checks!H28</f>
        <v>18.928479990197626</v>
      </c>
      <c r="I29" s="13">
        <f>Checks!I28</f>
        <v>26.003040000897908</v>
      </c>
      <c r="J29" s="13">
        <f>Checks!J28</f>
        <v>19.390959989938654</v>
      </c>
      <c r="K29" s="13">
        <f>Checks!K28</f>
        <v>19.01339000099787</v>
      </c>
      <c r="L29" s="13">
        <f>Checks!L28</f>
        <v>19.07264999990586</v>
      </c>
      <c r="M29" s="13">
        <f>Checks!M28</f>
        <v>18.517009999895233</v>
      </c>
      <c r="N29" s="13">
        <f>Checks!N28</f>
        <v>18.600109999998597</v>
      </c>
      <c r="O29" s="13">
        <f>Checks!O28</f>
        <v>18.443059999993832</v>
      </c>
      <c r="P29" s="13">
        <f>Checks!P28</f>
        <v>20.196330000064915</v>
      </c>
      <c r="Q29" s="11">
        <f>Checks!Q29</f>
        <v>35.340080000066699</v>
      </c>
      <c r="R29" s="14"/>
      <c r="S29" s="16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</row>
    <row r="30" spans="1:38" x14ac:dyDescent="0.25">
      <c r="A30" s="11" t="str">
        <f>Checks!A29</f>
        <v>PC9</v>
      </c>
      <c r="B30" s="13">
        <f>Checks!B29</f>
        <v>35.648199990921704</v>
      </c>
      <c r="C30" s="13">
        <f>Checks!C29</f>
        <v>35.799329999984565</v>
      </c>
      <c r="D30" s="14"/>
      <c r="E30" s="14"/>
      <c r="F30" s="14"/>
      <c r="G30" s="13">
        <f>Checks!G29</f>
        <v>32.051759989891494</v>
      </c>
      <c r="H30" s="13">
        <f>Checks!H29</f>
        <v>31.250480000087659</v>
      </c>
      <c r="I30" s="13">
        <f>Checks!I29</f>
        <v>37.595040001013636</v>
      </c>
      <c r="J30" s="13">
        <f>Checks!J29</f>
        <v>31.733959990019915</v>
      </c>
      <c r="K30" s="13">
        <f>Checks!K29</f>
        <v>31.419390000962704</v>
      </c>
      <c r="L30" s="13">
        <f>Checks!L29</f>
        <v>31.476649999927258</v>
      </c>
      <c r="M30" s="13">
        <f>Checks!M29</f>
        <v>31.036009999883856</v>
      </c>
      <c r="N30" s="13">
        <f>Checks!N29</f>
        <v>31.132109999952622</v>
      </c>
      <c r="O30" s="13">
        <f>Checks!O29</f>
        <v>31.058059989939917</v>
      </c>
      <c r="P30" s="13">
        <f>Checks!P29</f>
        <v>32.835329999990371</v>
      </c>
      <c r="Q30" s="11">
        <f>Checks!Q30</f>
        <v>41.215080000110738</v>
      </c>
      <c r="R30" s="14"/>
      <c r="S30" s="16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</row>
    <row r="31" spans="1:38" x14ac:dyDescent="0.25">
      <c r="A31" s="11" t="str">
        <f>Checks!A30</f>
        <v>PC10</v>
      </c>
      <c r="B31" s="13">
        <f>Checks!B30</f>
        <v>38.865200000858003</v>
      </c>
      <c r="C31" s="13">
        <f>Checks!C30</f>
        <v>39.037329999890048</v>
      </c>
      <c r="D31" s="14"/>
      <c r="E31" s="14"/>
      <c r="F31" s="14"/>
      <c r="G31" s="13">
        <f>Checks!G30</f>
        <v>39.355759999813756</v>
      </c>
      <c r="H31" s="13">
        <f>Checks!H30</f>
        <v>37.52948000003007</v>
      </c>
      <c r="I31" s="13">
        <f>Checks!I30</f>
        <v>43.479040000914161</v>
      </c>
      <c r="J31" s="13">
        <f>Checks!J30</f>
        <v>37.62095999993862</v>
      </c>
      <c r="K31" s="13">
        <f>Checks!K30</f>
        <v>37.787389990949528</v>
      </c>
      <c r="L31" s="13">
        <f>Checks!L30</f>
        <v>37.75964999975654</v>
      </c>
      <c r="M31" s="13">
        <f>Checks!M30</f>
        <v>36.996009999855396</v>
      </c>
      <c r="N31" s="13">
        <f>Checks!N30</f>
        <v>37.247109999870332</v>
      </c>
      <c r="O31" s="13">
        <f>Checks!O30</f>
        <v>37.284059999929987</v>
      </c>
      <c r="P31" s="13">
        <f>Checks!P30</f>
        <v>38.932329999973071</v>
      </c>
      <c r="Q31" s="11">
        <f>Checks!Q31</f>
        <v>21.794080000146803</v>
      </c>
      <c r="R31" s="14"/>
      <c r="S31" s="16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</row>
    <row r="32" spans="1:38" x14ac:dyDescent="0.25">
      <c r="A32" s="11" t="str">
        <f>Checks!A31</f>
        <v>PC11</v>
      </c>
      <c r="B32" s="13">
        <f>Checks!B31</f>
        <v>21.180199990876485</v>
      </c>
      <c r="C32" s="13">
        <f>Checks!C31</f>
        <v>21.330329999856605</v>
      </c>
      <c r="D32" s="14"/>
      <c r="E32" s="14"/>
      <c r="F32" s="14"/>
      <c r="G32" s="13">
        <f>Checks!G31</f>
        <v>19.589759999948146</v>
      </c>
      <c r="H32" s="13">
        <f>Checks!H31</f>
        <v>18.392480000027671</v>
      </c>
      <c r="I32" s="13">
        <f>Checks!I31</f>
        <v>24.185040001022156</v>
      </c>
      <c r="J32" s="13">
        <f>Checks!J31</f>
        <v>18.654960000096015</v>
      </c>
      <c r="K32" s="13">
        <f>Checks!K31</f>
        <v>18.576390001033598</v>
      </c>
      <c r="L32" s="13">
        <f>Checks!L31</f>
        <v>18.590649990001022</v>
      </c>
      <c r="M32" s="13">
        <f>Checks!M31</f>
        <v>17.915010000045566</v>
      </c>
      <c r="N32" s="13">
        <f>Checks!N31</f>
        <v>18.058109999784282</v>
      </c>
      <c r="O32" s="13">
        <f>Checks!O31</f>
        <v>17.972059999880923</v>
      </c>
      <c r="P32" s="13">
        <f>Checks!P31</f>
        <v>19.569329999923095</v>
      </c>
      <c r="Q32" s="11">
        <f>Checks!Q32</f>
        <v>0</v>
      </c>
      <c r="R32" s="14"/>
      <c r="S32" s="16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 spans="1:38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</row>
    <row r="34" spans="1:38" x14ac:dyDescent="0.25">
      <c r="B34" s="10">
        <f>Checks!B33</f>
        <v>12.620214699999128</v>
      </c>
      <c r="C34" s="10">
        <f>Checks!C33</f>
        <v>12.627372909388669</v>
      </c>
      <c r="D34" s="11">
        <f>Checks!D33</f>
        <v>0</v>
      </c>
      <c r="E34" s="11">
        <f>Checks!E33</f>
        <v>0</v>
      </c>
      <c r="F34" s="11">
        <f>Checks!F33</f>
        <v>0</v>
      </c>
      <c r="G34" s="10">
        <f>Checks!G33</f>
        <v>13.174636254829009</v>
      </c>
      <c r="H34" s="10">
        <f>Checks!H33</f>
        <v>13.150590680331264</v>
      </c>
      <c r="I34" s="10">
        <f>Checks!I33</f>
        <v>16.373762642855695</v>
      </c>
      <c r="J34" s="10">
        <f>Checks!J33</f>
        <v>13.160475530493837</v>
      </c>
      <c r="K34" s="10">
        <f>Checks!K33</f>
        <v>13.157635719748949</v>
      </c>
      <c r="L34" s="10">
        <f>Checks!L33</f>
        <v>13.168169945270964</v>
      </c>
      <c r="M34" s="10">
        <f>Checks!M33</f>
        <v>13.149646094284991</v>
      </c>
      <c r="N34" s="10">
        <f>Checks!N33</f>
        <v>13.168733259961888</v>
      </c>
      <c r="O34" s="10">
        <f>Checks!O33</f>
        <v>13.16856006234851</v>
      </c>
      <c r="P34" s="10">
        <f>Checks!P33</f>
        <v>13.199274866221801</v>
      </c>
      <c r="Q34" s="10">
        <f>Checks!Q33</f>
        <v>13.235866705286236</v>
      </c>
      <c r="R34" s="14"/>
      <c r="S34" s="18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</row>
    <row r="35" spans="1:38" x14ac:dyDescent="0.25">
      <c r="A35" s="14"/>
      <c r="B35" s="15">
        <f>B4</f>
        <v>44658</v>
      </c>
      <c r="C35" s="15">
        <f t="shared" ref="C35:Q35" si="2">C4</f>
        <v>44662</v>
      </c>
      <c r="D35" s="15">
        <f t="shared" si="2"/>
        <v>44711</v>
      </c>
      <c r="E35" s="15">
        <f t="shared" si="2"/>
        <v>44712</v>
      </c>
      <c r="F35" s="15">
        <f t="shared" si="2"/>
        <v>44714</v>
      </c>
      <c r="G35" s="15">
        <f t="shared" si="2"/>
        <v>44732</v>
      </c>
      <c r="H35" s="15">
        <f t="shared" si="2"/>
        <v>44733</v>
      </c>
      <c r="I35" s="15">
        <f t="shared" si="2"/>
        <v>44746</v>
      </c>
      <c r="J35" s="15">
        <f t="shared" si="2"/>
        <v>44753</v>
      </c>
      <c r="K35" s="15">
        <f t="shared" si="2"/>
        <v>44767</v>
      </c>
      <c r="L35" s="15">
        <f t="shared" si="2"/>
        <v>44774</v>
      </c>
      <c r="M35" s="15">
        <f t="shared" si="2"/>
        <v>44827</v>
      </c>
      <c r="N35" s="15">
        <f t="shared" si="2"/>
        <v>44859</v>
      </c>
      <c r="O35" s="15">
        <f t="shared" si="2"/>
        <v>44876</v>
      </c>
      <c r="P35" s="15">
        <f t="shared" si="2"/>
        <v>44942</v>
      </c>
      <c r="Q35" s="15">
        <f t="shared" si="2"/>
        <v>0</v>
      </c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</row>
    <row r="36" spans="1:38" x14ac:dyDescent="0.25">
      <c r="A36" s="14" t="s">
        <v>215</v>
      </c>
      <c r="B36" s="14">
        <f>B3</f>
        <v>1020.73</v>
      </c>
      <c r="C36" s="14">
        <f t="shared" ref="C36:Q36" si="3">C3</f>
        <v>1021.26</v>
      </c>
      <c r="D36" s="14">
        <f t="shared" si="3"/>
        <v>1006.48</v>
      </c>
      <c r="E36" s="14">
        <f t="shared" si="3"/>
        <v>1003.76</v>
      </c>
      <c r="F36" s="14">
        <f t="shared" si="3"/>
        <v>993.03</v>
      </c>
      <c r="G36" s="14">
        <f t="shared" si="3"/>
        <v>1022.34</v>
      </c>
      <c r="H36" s="14">
        <f t="shared" si="3"/>
        <v>1024.7</v>
      </c>
      <c r="I36" s="14">
        <f t="shared" si="3"/>
        <v>1024.52</v>
      </c>
      <c r="J36" s="14">
        <f t="shared" si="3"/>
        <v>1028.29</v>
      </c>
      <c r="K36" s="14">
        <f t="shared" si="3"/>
        <v>1022.3</v>
      </c>
      <c r="L36" s="14">
        <f t="shared" si="3"/>
        <v>1022.16</v>
      </c>
      <c r="M36" s="14">
        <f t="shared" si="3"/>
        <v>1020.69</v>
      </c>
      <c r="N36" s="14">
        <f t="shared" si="3"/>
        <v>1030.3900000000001</v>
      </c>
      <c r="O36" s="14">
        <f t="shared" si="3"/>
        <v>1021.37</v>
      </c>
      <c r="P36" s="14">
        <f t="shared" si="3"/>
        <v>1024.17</v>
      </c>
      <c r="Q36" s="14">
        <f t="shared" si="3"/>
        <v>45013</v>
      </c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spans="1:38" x14ac:dyDescent="0.25">
      <c r="A37" s="14" t="s">
        <v>216</v>
      </c>
      <c r="B37" s="14">
        <v>24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 spans="1:38" x14ac:dyDescent="0.25">
      <c r="A38" s="14" t="s">
        <v>31</v>
      </c>
      <c r="B38" s="16">
        <f>B14+($B$37-B$2)*$U$14</f>
        <v>17.758449880873176</v>
      </c>
      <c r="C38" s="16">
        <f t="shared" ref="C38:Q38" si="4">C14+($B$37-C$2)*$U$14</f>
        <v>17.603323029314488</v>
      </c>
      <c r="D38" s="16">
        <f t="shared" si="4"/>
        <v>18.854980833180239</v>
      </c>
      <c r="E38" s="16">
        <f t="shared" si="4"/>
        <v>18.699516850943795</v>
      </c>
      <c r="F38" s="16">
        <f t="shared" si="4"/>
        <v>18.912332944627565</v>
      </c>
      <c r="G38" s="16">
        <f t="shared" si="4"/>
        <v>18.00713900605826</v>
      </c>
      <c r="H38" s="16">
        <f t="shared" si="4"/>
        <v>18.237885480863753</v>
      </c>
      <c r="I38" s="16">
        <f t="shared" si="4"/>
        <v>17.823478459107527</v>
      </c>
      <c r="J38" s="16">
        <f t="shared" si="4"/>
        <v>17.89092284251452</v>
      </c>
      <c r="K38" s="16">
        <f t="shared" si="4"/>
        <v>17.691865616301435</v>
      </c>
      <c r="L38" s="16">
        <f t="shared" si="4"/>
        <v>17.343107259170697</v>
      </c>
      <c r="M38" s="16">
        <f t="shared" si="4"/>
        <v>17.147695554514875</v>
      </c>
      <c r="N38" s="16">
        <f t="shared" si="4"/>
        <v>17.088276965889825</v>
      </c>
      <c r="O38" s="16">
        <f t="shared" si="4"/>
        <v>17.155962001962887</v>
      </c>
      <c r="P38" s="16">
        <f t="shared" si="4"/>
        <v>18.060355777470878</v>
      </c>
      <c r="Q38" s="16">
        <f t="shared" si="4"/>
        <v>39.021492986049303</v>
      </c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</row>
    <row r="39" spans="1:38" x14ac:dyDescent="0.25">
      <c r="A39" s="14" t="s">
        <v>33</v>
      </c>
      <c r="B39" s="16">
        <f>B15+($B$37-B$2)*$U$15</f>
        <v>38.200708269046146</v>
      </c>
      <c r="C39" s="16">
        <f t="shared" ref="C39:Q39" si="5">C15+($B$37-C$2)*$U$15</f>
        <v>38.116609751127079</v>
      </c>
      <c r="D39" s="16">
        <f t="shared" si="5"/>
        <v>38.483686578400956</v>
      </c>
      <c r="E39" s="16">
        <f t="shared" si="5"/>
        <v>38.537198516765208</v>
      </c>
      <c r="F39" s="16">
        <f t="shared" si="5"/>
        <v>38.611800444733355</v>
      </c>
      <c r="G39" s="16">
        <f t="shared" si="5"/>
        <v>38.52914075636658</v>
      </c>
      <c r="H39" s="16">
        <f t="shared" si="5"/>
        <v>38.591098813503876</v>
      </c>
      <c r="I39" s="16">
        <f t="shared" si="5"/>
        <v>38.528160876017047</v>
      </c>
      <c r="J39" s="16">
        <f t="shared" si="5"/>
        <v>38.584599925832087</v>
      </c>
      <c r="K39" s="16">
        <f t="shared" si="5"/>
        <v>38.575860950313462</v>
      </c>
      <c r="L39" s="16">
        <f t="shared" si="5"/>
        <v>38.383857897584782</v>
      </c>
      <c r="M39" s="16">
        <f t="shared" si="5"/>
        <v>38.453053385231783</v>
      </c>
      <c r="N39" s="16">
        <f t="shared" si="5"/>
        <v>38.442003348143452</v>
      </c>
      <c r="O39" s="16">
        <f t="shared" si="5"/>
        <v>38.418705620744348</v>
      </c>
      <c r="P39" s="16">
        <f t="shared" si="5"/>
        <v>38.635943066463369</v>
      </c>
      <c r="Q39" s="16">
        <f t="shared" si="5"/>
        <v>30.132665400185001</v>
      </c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</row>
    <row r="40" spans="1:38" x14ac:dyDescent="0.25">
      <c r="A40" s="14" t="s">
        <v>34</v>
      </c>
      <c r="B40" s="16">
        <f>B16+($B$37-B$2)*$U$16</f>
        <v>29.946720842763433</v>
      </c>
      <c r="C40" s="16">
        <f t="shared" ref="C40:Q40" si="6">C16+($B$37-C$2)*$U$16</f>
        <v>29.867875671778915</v>
      </c>
      <c r="D40" s="16">
        <f t="shared" si="6"/>
        <v>29.739919717976665</v>
      </c>
      <c r="E40" s="16">
        <f t="shared" si="6"/>
        <v>30.041716170205959</v>
      </c>
      <c r="F40" s="16">
        <f t="shared" si="6"/>
        <v>30.143252335744588</v>
      </c>
      <c r="G40" s="16">
        <f t="shared" si="6"/>
        <v>30.29694968800441</v>
      </c>
      <c r="H40" s="16">
        <f t="shared" si="6"/>
        <v>30.29903973398897</v>
      </c>
      <c r="I40" s="16">
        <f t="shared" si="6"/>
        <v>30.362405914817995</v>
      </c>
      <c r="J40" s="16">
        <f t="shared" si="6"/>
        <v>30.456000108992015</v>
      </c>
      <c r="K40" s="16">
        <f t="shared" si="6"/>
        <v>30.45380480571631</v>
      </c>
      <c r="L40" s="16">
        <f t="shared" si="6"/>
        <v>30.340824380839141</v>
      </c>
      <c r="M40" s="16">
        <f t="shared" si="6"/>
        <v>30.323045923293616</v>
      </c>
      <c r="N40" s="16">
        <f t="shared" si="6"/>
        <v>30.347898977686796</v>
      </c>
      <c r="O40" s="16">
        <f t="shared" si="6"/>
        <v>30.216504532092355</v>
      </c>
      <c r="P40" s="16">
        <f t="shared" si="6"/>
        <v>29.978488191932765</v>
      </c>
      <c r="Q40" s="16">
        <f t="shared" si="6"/>
        <v>14.14755569168633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1:38" x14ac:dyDescent="0.25">
      <c r="A41" s="14" t="s">
        <v>35</v>
      </c>
      <c r="B41" s="16">
        <f>B17+($B$37-B$2)*$U$17</f>
        <v>14.661845765190707</v>
      </c>
      <c r="C41" s="16">
        <f t="shared" ref="C41:Q41" si="7">C17+($B$37-C$2)*$U$17</f>
        <v>14.605057079779431</v>
      </c>
      <c r="D41" s="16">
        <f t="shared" si="7"/>
        <v>12.594488555055241</v>
      </c>
      <c r="E41" s="16">
        <f t="shared" si="7"/>
        <v>13.100659664533556</v>
      </c>
      <c r="F41" s="16">
        <f t="shared" si="7"/>
        <v>14.007369297543269</v>
      </c>
      <c r="G41" s="16">
        <f t="shared" si="7"/>
        <v>14.088548495877662</v>
      </c>
      <c r="H41" s="16">
        <f t="shared" si="7"/>
        <v>14.071394539507583</v>
      </c>
      <c r="I41" s="16">
        <f t="shared" si="7"/>
        <v>14.144569242981849</v>
      </c>
      <c r="J41" s="16">
        <f t="shared" si="7"/>
        <v>14.212647273801732</v>
      </c>
      <c r="K41" s="16">
        <f t="shared" si="7"/>
        <v>14.208320969280351</v>
      </c>
      <c r="L41" s="16">
        <f t="shared" si="7"/>
        <v>14.122400273313669</v>
      </c>
      <c r="M41" s="16">
        <f t="shared" si="7"/>
        <v>4.7375739080629602</v>
      </c>
      <c r="N41" s="16">
        <f t="shared" si="7"/>
        <v>2.71925054997434</v>
      </c>
      <c r="O41" s="16">
        <f t="shared" si="7"/>
        <v>2.498876613122043</v>
      </c>
      <c r="P41" s="16">
        <f t="shared" si="7"/>
        <v>13.56049902812979</v>
      </c>
      <c r="Q41" s="16">
        <f t="shared" si="7"/>
        <v>-11.36053774871627</v>
      </c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</row>
    <row r="42" spans="1:38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</row>
    <row r="43" spans="1:38" x14ac:dyDescent="0.25">
      <c r="A43" s="14"/>
      <c r="B43" s="15">
        <f>B35</f>
        <v>44658</v>
      </c>
      <c r="C43" s="15">
        <f t="shared" ref="C43:K43" si="8">C35</f>
        <v>44662</v>
      </c>
      <c r="D43" s="15">
        <f t="shared" si="8"/>
        <v>44711</v>
      </c>
      <c r="E43" s="15">
        <f t="shared" si="8"/>
        <v>44712</v>
      </c>
      <c r="F43" s="15">
        <f t="shared" si="8"/>
        <v>44714</v>
      </c>
      <c r="G43" s="15">
        <f t="shared" si="8"/>
        <v>44732</v>
      </c>
      <c r="H43" s="15">
        <f t="shared" si="8"/>
        <v>44733</v>
      </c>
      <c r="I43" s="15">
        <f t="shared" si="8"/>
        <v>44746</v>
      </c>
      <c r="J43" s="15">
        <f t="shared" si="8"/>
        <v>44753</v>
      </c>
      <c r="K43" s="15">
        <f t="shared" si="8"/>
        <v>44767</v>
      </c>
      <c r="L43" s="15">
        <f>O35</f>
        <v>44876</v>
      </c>
      <c r="M43" s="15">
        <f>P35</f>
        <v>44942</v>
      </c>
      <c r="N43" s="15">
        <f>Q35</f>
        <v>0</v>
      </c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</row>
    <row r="44" spans="1:38" x14ac:dyDescent="0.25">
      <c r="A44" s="14"/>
      <c r="B44" s="14">
        <f>B36</f>
        <v>1020.73</v>
      </c>
      <c r="C44" s="14">
        <f t="shared" ref="C44:L44" si="9">C36</f>
        <v>1021.26</v>
      </c>
      <c r="D44" s="14">
        <f t="shared" si="9"/>
        <v>1006.48</v>
      </c>
      <c r="E44" s="14">
        <f t="shared" si="9"/>
        <v>1003.76</v>
      </c>
      <c r="F44" s="14">
        <f t="shared" si="9"/>
        <v>993.03</v>
      </c>
      <c r="G44" s="14">
        <f t="shared" si="9"/>
        <v>1022.34</v>
      </c>
      <c r="H44" s="14">
        <f t="shared" si="9"/>
        <v>1024.7</v>
      </c>
      <c r="I44" s="14">
        <f t="shared" si="9"/>
        <v>1024.52</v>
      </c>
      <c r="J44" s="14">
        <f t="shared" si="9"/>
        <v>1028.29</v>
      </c>
      <c r="K44" s="14">
        <f t="shared" si="9"/>
        <v>1022.3</v>
      </c>
      <c r="L44" s="14">
        <f t="shared" si="9"/>
        <v>1022.16</v>
      </c>
      <c r="M44" s="14">
        <f>P36</f>
        <v>1024.17</v>
      </c>
      <c r="N44" s="14">
        <f>Q36</f>
        <v>45013</v>
      </c>
      <c r="O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</row>
    <row r="45" spans="1:38" x14ac:dyDescent="0.25">
      <c r="A45" s="14" t="s">
        <v>217</v>
      </c>
      <c r="B45" s="16">
        <f>B41</f>
        <v>14.661845765190707</v>
      </c>
      <c r="C45" s="16">
        <f t="shared" ref="C45:L45" si="10">C41</f>
        <v>14.605057079779431</v>
      </c>
      <c r="D45" s="16">
        <f t="shared" si="10"/>
        <v>12.594488555055241</v>
      </c>
      <c r="E45" s="16">
        <f t="shared" si="10"/>
        <v>13.100659664533556</v>
      </c>
      <c r="F45" s="16">
        <f t="shared" si="10"/>
        <v>14.007369297543269</v>
      </c>
      <c r="G45" s="16">
        <f t="shared" si="10"/>
        <v>14.088548495877662</v>
      </c>
      <c r="H45" s="16">
        <f t="shared" si="10"/>
        <v>14.071394539507583</v>
      </c>
      <c r="I45" s="16">
        <f t="shared" si="10"/>
        <v>14.144569242981849</v>
      </c>
      <c r="J45" s="16">
        <f t="shared" si="10"/>
        <v>14.212647273801732</v>
      </c>
      <c r="K45" s="16">
        <f t="shared" si="10"/>
        <v>14.208320969280351</v>
      </c>
      <c r="L45" s="16">
        <f t="shared" si="10"/>
        <v>14.122400273313669</v>
      </c>
      <c r="M45" s="16">
        <f>P41</f>
        <v>13.56049902812979</v>
      </c>
      <c r="N45" s="16">
        <f>Q41</f>
        <v>-11.36053774871627</v>
      </c>
      <c r="O45" s="16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</row>
    <row r="46" spans="1:38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</row>
    <row r="47" spans="1:38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 spans="1:38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 spans="1:38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 spans="1:38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</row>
    <row r="51" spans="1:38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</row>
    <row r="52" spans="1:38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 spans="1:38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</row>
    <row r="54" spans="1:38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</row>
    <row r="55" spans="1:38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</row>
    <row r="56" spans="1:38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 spans="1:38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</row>
    <row r="58" spans="1:38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 spans="1:38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</row>
    <row r="60" spans="1:38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 spans="1:38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spans="1:38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spans="1:38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 spans="1:38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</row>
    <row r="65" spans="1:38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</row>
    <row r="66" spans="1:38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 spans="1:38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</row>
    <row r="68" spans="1:38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</row>
    <row r="69" spans="1:38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</row>
    <row r="70" spans="1:38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</row>
    <row r="71" spans="1:38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</row>
    <row r="72" spans="1:38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</row>
    <row r="73" spans="1:38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</row>
    <row r="74" spans="1:38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</row>
    <row r="75" spans="1:38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spans="1:38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</row>
    <row r="77" spans="1:38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</row>
    <row r="78" spans="1:38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</row>
    <row r="79" spans="1:38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</row>
    <row r="80" spans="1:38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</row>
    <row r="81" spans="1:38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</row>
    <row r="82" spans="1:38" x14ac:dyDescent="0.25">
      <c r="A82" s="14">
        <v>50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</row>
    <row r="83" spans="1:38" x14ac:dyDescent="0.25">
      <c r="A83" s="16">
        <f>AVERAGE(B86:Q86)</f>
        <v>3768.6993750000001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</row>
    <row r="84" spans="1:38" x14ac:dyDescent="0.25">
      <c r="A84" s="14" t="s">
        <v>207</v>
      </c>
      <c r="B84" s="15">
        <f>B4</f>
        <v>44658</v>
      </c>
      <c r="C84" s="15">
        <f t="shared" ref="C84:Q84" si="11">C4</f>
        <v>44662</v>
      </c>
      <c r="D84" s="15">
        <f t="shared" si="11"/>
        <v>44711</v>
      </c>
      <c r="E84" s="15">
        <f t="shared" si="11"/>
        <v>44712</v>
      </c>
      <c r="F84" s="15">
        <f t="shared" si="11"/>
        <v>44714</v>
      </c>
      <c r="G84" s="15">
        <f t="shared" si="11"/>
        <v>44732</v>
      </c>
      <c r="H84" s="15">
        <f t="shared" si="11"/>
        <v>44733</v>
      </c>
      <c r="I84" s="15">
        <f t="shared" si="11"/>
        <v>44746</v>
      </c>
      <c r="J84" s="15">
        <f t="shared" si="11"/>
        <v>44753</v>
      </c>
      <c r="K84" s="15">
        <f t="shared" si="11"/>
        <v>44767</v>
      </c>
      <c r="L84" s="15">
        <f t="shared" si="11"/>
        <v>44774</v>
      </c>
      <c r="M84" s="15">
        <f t="shared" si="11"/>
        <v>44827</v>
      </c>
      <c r="N84" s="15">
        <f t="shared" si="11"/>
        <v>44859</v>
      </c>
      <c r="O84" s="15">
        <f t="shared" si="11"/>
        <v>44876</v>
      </c>
      <c r="P84" s="15">
        <f t="shared" si="11"/>
        <v>44942</v>
      </c>
      <c r="Q84" s="15">
        <f t="shared" si="11"/>
        <v>0</v>
      </c>
      <c r="R84" s="15"/>
      <c r="S84" s="14" t="s">
        <v>218</v>
      </c>
      <c r="T84" s="14">
        <v>0.37769999999999998</v>
      </c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</row>
    <row r="85" spans="1:38" x14ac:dyDescent="0.25">
      <c r="A85" s="14" t="s">
        <v>219</v>
      </c>
      <c r="B85" s="16">
        <v>55.2</v>
      </c>
      <c r="C85" s="16">
        <v>56.9</v>
      </c>
      <c r="D85" s="16">
        <v>49.62</v>
      </c>
      <c r="E85" s="16">
        <v>52.99</v>
      </c>
      <c r="F85" s="23">
        <v>50</v>
      </c>
      <c r="G85" s="16">
        <v>44.23</v>
      </c>
      <c r="H85" s="23">
        <v>50</v>
      </c>
      <c r="I85" s="16">
        <v>44.99</v>
      </c>
      <c r="J85" s="16">
        <v>42.26</v>
      </c>
      <c r="K85" s="16">
        <v>44.55</v>
      </c>
      <c r="L85" s="16">
        <v>43.24</v>
      </c>
      <c r="M85" s="16">
        <v>48.12</v>
      </c>
      <c r="N85" s="16">
        <v>48.12</v>
      </c>
      <c r="O85" s="16">
        <v>45.12</v>
      </c>
      <c r="P85" s="16">
        <v>52.27</v>
      </c>
      <c r="Q85" s="16">
        <v>50.58</v>
      </c>
      <c r="R85" s="15"/>
      <c r="S85" s="14" t="s">
        <v>220</v>
      </c>
      <c r="T85" s="14">
        <v>0.96640000000000004</v>
      </c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</row>
    <row r="86" spans="1:38" x14ac:dyDescent="0.25">
      <c r="A86" s="14" t="s">
        <v>211</v>
      </c>
      <c r="B86" s="16">
        <f>B36</f>
        <v>1020.73</v>
      </c>
      <c r="C86" s="16">
        <f t="shared" ref="C86:Q86" si="12">C36</f>
        <v>1021.26</v>
      </c>
      <c r="D86" s="16">
        <f t="shared" si="12"/>
        <v>1006.48</v>
      </c>
      <c r="E86" s="16">
        <f t="shared" si="12"/>
        <v>1003.76</v>
      </c>
      <c r="F86" s="16">
        <f t="shared" si="12"/>
        <v>993.03</v>
      </c>
      <c r="G86" s="16">
        <f t="shared" si="12"/>
        <v>1022.34</v>
      </c>
      <c r="H86" s="16">
        <f t="shared" si="12"/>
        <v>1024.7</v>
      </c>
      <c r="I86" s="16">
        <f t="shared" si="12"/>
        <v>1024.52</v>
      </c>
      <c r="J86" s="16">
        <f t="shared" si="12"/>
        <v>1028.29</v>
      </c>
      <c r="K86" s="16">
        <f t="shared" si="12"/>
        <v>1022.3</v>
      </c>
      <c r="L86" s="16">
        <f t="shared" si="12"/>
        <v>1022.16</v>
      </c>
      <c r="M86" s="16">
        <f t="shared" si="12"/>
        <v>1020.69</v>
      </c>
      <c r="N86" s="16">
        <f t="shared" si="12"/>
        <v>1030.3900000000001</v>
      </c>
      <c r="O86" s="16">
        <f t="shared" si="12"/>
        <v>1021.37</v>
      </c>
      <c r="P86" s="16">
        <f t="shared" si="12"/>
        <v>1024.17</v>
      </c>
      <c r="Q86" s="16">
        <f t="shared" si="12"/>
        <v>45013</v>
      </c>
      <c r="R86" s="15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</row>
    <row r="87" spans="1:38" x14ac:dyDescent="0.25">
      <c r="A87" s="14" t="s">
        <v>221</v>
      </c>
      <c r="B87" s="14">
        <v>21.29</v>
      </c>
      <c r="C87" s="14">
        <v>20.72</v>
      </c>
      <c r="D87" s="14">
        <v>20.68</v>
      </c>
      <c r="E87" s="14">
        <v>20.79</v>
      </c>
      <c r="F87" s="14">
        <v>20.76</v>
      </c>
      <c r="G87" s="14">
        <v>20.88</v>
      </c>
      <c r="H87" s="14">
        <v>20.81</v>
      </c>
      <c r="I87" s="14">
        <v>20.74</v>
      </c>
      <c r="J87" s="14">
        <v>21.03</v>
      </c>
      <c r="K87" s="14">
        <v>20.89</v>
      </c>
      <c r="L87" s="14">
        <v>20.86</v>
      </c>
      <c r="M87" s="14">
        <v>20.9</v>
      </c>
      <c r="N87" s="14">
        <v>20.71</v>
      </c>
      <c r="O87" s="14">
        <v>20.77</v>
      </c>
      <c r="P87" s="14">
        <v>20.74</v>
      </c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</row>
    <row r="88" spans="1:38" x14ac:dyDescent="0.25">
      <c r="A88" s="14" t="s">
        <v>222</v>
      </c>
      <c r="B88" s="16">
        <f>B21</f>
        <v>164.04424000094761</v>
      </c>
      <c r="C88" s="16">
        <f t="shared" ref="C88:Q88" si="13">C21</f>
        <v>165.06371698988698</v>
      </c>
      <c r="D88" s="16">
        <f t="shared" si="13"/>
        <v>147.40925799007076</v>
      </c>
      <c r="E88" s="16">
        <f t="shared" si="13"/>
        <v>145.96639399989542</v>
      </c>
      <c r="F88" s="16">
        <f t="shared" si="13"/>
        <v>141.97544898998248</v>
      </c>
      <c r="G88" s="16">
        <f t="shared" si="13"/>
        <v>154.30988400001323</v>
      </c>
      <c r="H88" s="16">
        <f t="shared" si="13"/>
        <v>155.03718199994941</v>
      </c>
      <c r="I88" s="16">
        <f t="shared" si="13"/>
        <v>154.10752600110018</v>
      </c>
      <c r="J88" s="16">
        <f t="shared" si="13"/>
        <v>155.24963400005288</v>
      </c>
      <c r="K88" s="16">
        <f t="shared" si="13"/>
        <v>149.78429100088593</v>
      </c>
      <c r="L88" s="16">
        <f t="shared" si="13"/>
        <v>151.17831498979581</v>
      </c>
      <c r="M88" s="16">
        <f t="shared" si="13"/>
        <v>149.31018899989465</v>
      </c>
      <c r="N88" s="16">
        <f t="shared" si="13"/>
        <v>153.99135899985959</v>
      </c>
      <c r="O88" s="16">
        <f t="shared" si="13"/>
        <v>156.50781399990518</v>
      </c>
      <c r="P88" s="16">
        <f t="shared" si="13"/>
        <v>168.98175699998492</v>
      </c>
      <c r="Q88" s="16">
        <f t="shared" si="13"/>
        <v>37.329080000102245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</row>
    <row r="89" spans="1:38" x14ac:dyDescent="0.25">
      <c r="A89" s="14" t="s">
        <v>223</v>
      </c>
      <c r="B89" s="16">
        <f>B88-(B86-$A$83)*$T$84</f>
        <v>1201.9522729384475</v>
      </c>
      <c r="C89" s="16">
        <f t="shared" ref="C89:Q89" si="14">C88-(C86-$A$83)*$T$84</f>
        <v>1202.7715689273869</v>
      </c>
      <c r="D89" s="16">
        <f t="shared" si="14"/>
        <v>1190.6995159275707</v>
      </c>
      <c r="E89" s="16">
        <f t="shared" si="14"/>
        <v>1190.2839959373953</v>
      </c>
      <c r="F89" s="16">
        <f t="shared" si="14"/>
        <v>1190.3457719274825</v>
      </c>
      <c r="G89" s="16">
        <f t="shared" si="14"/>
        <v>1191.6098199375131</v>
      </c>
      <c r="H89" s="16">
        <f t="shared" si="14"/>
        <v>1191.4457459374494</v>
      </c>
      <c r="I89" s="16">
        <f t="shared" si="14"/>
        <v>1190.5840759386003</v>
      </c>
      <c r="J89" s="16">
        <f t="shared" si="14"/>
        <v>1190.3022549375528</v>
      </c>
      <c r="K89" s="16">
        <f t="shared" si="14"/>
        <v>1187.0993349383859</v>
      </c>
      <c r="L89" s="16">
        <f t="shared" si="14"/>
        <v>1188.5462369272959</v>
      </c>
      <c r="M89" s="16">
        <f t="shared" si="14"/>
        <v>1187.2333299373945</v>
      </c>
      <c r="N89" s="16">
        <f t="shared" si="14"/>
        <v>1188.2508099373595</v>
      </c>
      <c r="O89" s="16">
        <f t="shared" si="14"/>
        <v>1194.1741189374052</v>
      </c>
      <c r="P89" s="16">
        <f t="shared" si="14"/>
        <v>1205.590501937485</v>
      </c>
      <c r="Q89" s="16">
        <f t="shared" si="14"/>
        <v>-15540.6432660624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</row>
    <row r="90" spans="1:38" x14ac:dyDescent="0.25">
      <c r="A90" s="14" t="s">
        <v>224</v>
      </c>
      <c r="B90" s="16">
        <f>B89-(B85-$A$82)*$T$85</f>
        <v>1196.9269929384475</v>
      </c>
      <c r="C90" s="16">
        <f t="shared" ref="C90:Q90" si="15">C89-(C85-$A$82)*$T$85</f>
        <v>1196.1034089273869</v>
      </c>
      <c r="D90" s="16">
        <f t="shared" si="15"/>
        <v>1191.0667479275708</v>
      </c>
      <c r="E90" s="16">
        <f t="shared" si="15"/>
        <v>1187.3944599373954</v>
      </c>
      <c r="F90" s="16">
        <f t="shared" si="15"/>
        <v>1190.3457719274825</v>
      </c>
      <c r="G90" s="16">
        <f t="shared" si="15"/>
        <v>1197.185947937513</v>
      </c>
      <c r="H90" s="16">
        <f t="shared" si="15"/>
        <v>1191.4457459374494</v>
      </c>
      <c r="I90" s="16">
        <f t="shared" si="15"/>
        <v>1195.4257399386004</v>
      </c>
      <c r="J90" s="16">
        <f t="shared" si="15"/>
        <v>1197.7821909375527</v>
      </c>
      <c r="K90" s="16">
        <f t="shared" si="15"/>
        <v>1192.3662149383858</v>
      </c>
      <c r="L90" s="16">
        <f t="shared" si="15"/>
        <v>1195.0791009272959</v>
      </c>
      <c r="M90" s="16">
        <f t="shared" si="15"/>
        <v>1189.0501619373945</v>
      </c>
      <c r="N90" s="16">
        <f t="shared" si="15"/>
        <v>1190.0676419373594</v>
      </c>
      <c r="O90" s="16">
        <f t="shared" si="15"/>
        <v>1198.8901509374052</v>
      </c>
      <c r="P90" s="16">
        <f t="shared" si="15"/>
        <v>1203.396773937485</v>
      </c>
      <c r="Q90" s="16">
        <f t="shared" si="15"/>
        <v>-15541.2037780624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</row>
    <row r="91" spans="1:38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</row>
    <row r="92" spans="1:38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</row>
    <row r="93" spans="1:38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</row>
    <row r="94" spans="1:38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</row>
    <row r="95" spans="1:38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</row>
    <row r="96" spans="1:38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</row>
    <row r="97" spans="1:38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</row>
    <row r="98" spans="1:38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</row>
    <row r="99" spans="1:38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</row>
    <row r="100" spans="1:38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</row>
    <row r="101" spans="1:38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</row>
    <row r="102" spans="1:38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</row>
    <row r="103" spans="1:38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</row>
  </sheetData>
  <sheetProtection formatCells="0" formatColumns="0" formatRows="0" insertColumns="0" insertRows="0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3521-08A8-4AA4-9BC6-34BBF4C5CD24}">
  <dimension ref="D2:G28"/>
  <sheetViews>
    <sheetView tabSelected="1" topLeftCell="A7" workbookViewId="0">
      <selection activeCell="G30" sqref="G30"/>
    </sheetView>
  </sheetViews>
  <sheetFormatPr defaultRowHeight="15" x14ac:dyDescent="0.25"/>
  <cols>
    <col min="4" max="4" width="13.5703125" customWidth="1"/>
    <col min="6" max="6" width="13" customWidth="1"/>
  </cols>
  <sheetData>
    <row r="2" spans="4:7" x14ac:dyDescent="0.25">
      <c r="D2" t="s">
        <v>207</v>
      </c>
      <c r="E2" t="s">
        <v>211</v>
      </c>
      <c r="F2" t="s">
        <v>205</v>
      </c>
      <c r="G2" t="s">
        <v>204</v>
      </c>
    </row>
    <row r="3" spans="4:7" x14ac:dyDescent="0.25">
      <c r="D3" s="6">
        <v>44658</v>
      </c>
      <c r="E3">
        <v>1020.73</v>
      </c>
      <c r="F3">
        <v>25.46</v>
      </c>
    </row>
    <row r="4" spans="4:7" x14ac:dyDescent="0.25">
      <c r="D4" s="6">
        <v>44662</v>
      </c>
      <c r="E4">
        <v>1021.26</v>
      </c>
      <c r="F4">
        <v>25.48</v>
      </c>
      <c r="G4">
        <v>23.295000000000002</v>
      </c>
    </row>
    <row r="5" spans="4:7" x14ac:dyDescent="0.25">
      <c r="D5" s="6">
        <v>44711</v>
      </c>
      <c r="E5">
        <v>1006.48</v>
      </c>
      <c r="F5">
        <v>21.122</v>
      </c>
      <c r="G5">
        <v>21.655000000000001</v>
      </c>
    </row>
    <row r="6" spans="4:7" x14ac:dyDescent="0.25">
      <c r="D6" s="6">
        <v>44712</v>
      </c>
      <c r="E6">
        <v>1003.76</v>
      </c>
      <c r="F6">
        <v>23.98</v>
      </c>
      <c r="G6">
        <v>23.658999999999999</v>
      </c>
    </row>
    <row r="7" spans="4:7" x14ac:dyDescent="0.25">
      <c r="D7" s="6">
        <v>44714</v>
      </c>
      <c r="E7">
        <v>993.03</v>
      </c>
      <c r="F7">
        <v>24.006</v>
      </c>
      <c r="G7">
        <v>23.35</v>
      </c>
    </row>
    <row r="8" spans="4:7" x14ac:dyDescent="0.25">
      <c r="D8" s="6">
        <v>44732</v>
      </c>
      <c r="E8">
        <v>1022.34</v>
      </c>
      <c r="F8">
        <v>24.010200000000001</v>
      </c>
      <c r="G8">
        <v>23.678000000000001</v>
      </c>
    </row>
    <row r="9" spans="4:7" x14ac:dyDescent="0.25">
      <c r="D9" s="6">
        <v>44733</v>
      </c>
      <c r="E9">
        <v>1025.5899999999999</v>
      </c>
      <c r="F9">
        <v>23.984000000000002</v>
      </c>
      <c r="G9">
        <v>23.37</v>
      </c>
    </row>
    <row r="10" spans="4:7" x14ac:dyDescent="0.25">
      <c r="D10" s="6">
        <v>44733</v>
      </c>
      <c r="E10">
        <v>1024.7</v>
      </c>
      <c r="F10">
        <v>23.984000000000002</v>
      </c>
      <c r="G10">
        <v>23.679400000000001</v>
      </c>
    </row>
    <row r="11" spans="4:7" x14ac:dyDescent="0.25">
      <c r="D11" s="6">
        <v>44746</v>
      </c>
      <c r="E11">
        <v>1024.52</v>
      </c>
      <c r="F11">
        <v>24.011800000000001</v>
      </c>
      <c r="G11">
        <v>23.6843</v>
      </c>
    </row>
    <row r="12" spans="4:7" x14ac:dyDescent="0.25">
      <c r="D12" s="6">
        <v>44753</v>
      </c>
      <c r="E12">
        <v>1028.29</v>
      </c>
      <c r="F12">
        <v>23.998999999999999</v>
      </c>
      <c r="G12">
        <v>23.686</v>
      </c>
    </row>
    <row r="13" spans="4:7" x14ac:dyDescent="0.25">
      <c r="D13" s="6">
        <v>44767</v>
      </c>
      <c r="E13">
        <v>1022.3</v>
      </c>
      <c r="F13">
        <v>24.012799999999999</v>
      </c>
      <c r="G13">
        <v>23.686499999999999</v>
      </c>
    </row>
    <row r="14" spans="4:7" x14ac:dyDescent="0.25">
      <c r="D14" s="6">
        <v>44774</v>
      </c>
      <c r="E14">
        <v>1022.16</v>
      </c>
      <c r="F14">
        <v>24.1065</v>
      </c>
      <c r="G14">
        <v>23.78</v>
      </c>
    </row>
    <row r="15" spans="4:7" x14ac:dyDescent="0.25">
      <c r="D15" s="6">
        <v>44827</v>
      </c>
      <c r="E15">
        <v>1020.69</v>
      </c>
      <c r="F15">
        <v>23.910799999999998</v>
      </c>
      <c r="G15">
        <v>23.686499999999999</v>
      </c>
    </row>
    <row r="16" spans="4:7" x14ac:dyDescent="0.25">
      <c r="D16" s="6">
        <v>44859</v>
      </c>
      <c r="E16">
        <v>1030.3900000000001</v>
      </c>
      <c r="F16">
        <v>23.910299999999999</v>
      </c>
      <c r="G16">
        <v>23.786000000000001</v>
      </c>
    </row>
    <row r="17" spans="4:7" x14ac:dyDescent="0.25">
      <c r="D17" s="6">
        <v>44876</v>
      </c>
      <c r="E17">
        <v>1021.37</v>
      </c>
      <c r="F17">
        <v>25.154599999999999</v>
      </c>
      <c r="G17">
        <v>24.757000000000001</v>
      </c>
    </row>
    <row r="18" spans="4:7" x14ac:dyDescent="0.25">
      <c r="D18" s="6">
        <v>44942</v>
      </c>
      <c r="E18">
        <v>1024.17</v>
      </c>
      <c r="F18">
        <v>25.154599999999999</v>
      </c>
      <c r="G18">
        <v>24.757000000000001</v>
      </c>
    </row>
    <row r="19" spans="4:7" x14ac:dyDescent="0.25">
      <c r="D19" s="6">
        <v>45013</v>
      </c>
      <c r="E19">
        <v>1007.51</v>
      </c>
      <c r="F19">
        <v>23.911000000000001</v>
      </c>
      <c r="G19">
        <v>23.733000000000001</v>
      </c>
    </row>
    <row r="20" spans="4:7" x14ac:dyDescent="0.25">
      <c r="D20" s="6">
        <v>45054</v>
      </c>
      <c r="E20">
        <v>1020.17</v>
      </c>
      <c r="F20">
        <v>23.905999999999999</v>
      </c>
      <c r="G20">
        <v>23.73</v>
      </c>
    </row>
    <row r="21" spans="4:7" x14ac:dyDescent="0.25">
      <c r="D21" s="6">
        <v>45062</v>
      </c>
      <c r="E21">
        <v>1018.01</v>
      </c>
      <c r="F21">
        <v>23.905999999999999</v>
      </c>
      <c r="G21">
        <v>23.73</v>
      </c>
    </row>
    <row r="22" spans="4:7" x14ac:dyDescent="0.25">
      <c r="D22" s="6">
        <v>45063</v>
      </c>
      <c r="E22">
        <v>1018.01</v>
      </c>
      <c r="F22">
        <v>23.905999999999999</v>
      </c>
      <c r="G22">
        <v>23.734000000000002</v>
      </c>
    </row>
    <row r="23" spans="4:7" x14ac:dyDescent="0.25">
      <c r="D23" s="6">
        <v>45069</v>
      </c>
      <c r="E23">
        <v>1003.2</v>
      </c>
      <c r="F23">
        <v>23.907499999999999</v>
      </c>
      <c r="G23">
        <v>23.73</v>
      </c>
    </row>
    <row r="24" spans="4:7" x14ac:dyDescent="0.25">
      <c r="D24" s="6">
        <v>45198</v>
      </c>
      <c r="E24">
        <v>1000.83</v>
      </c>
      <c r="F24">
        <v>24.099</v>
      </c>
      <c r="G24">
        <v>23.73</v>
      </c>
    </row>
    <row r="25" spans="4:7" x14ac:dyDescent="0.25">
      <c r="D25" s="6">
        <v>45201</v>
      </c>
      <c r="E25">
        <v>1003.03</v>
      </c>
      <c r="F25">
        <v>24.094999999999999</v>
      </c>
      <c r="G25">
        <v>23.738</v>
      </c>
    </row>
    <row r="26" spans="4:7" x14ac:dyDescent="0.25">
      <c r="D26" s="6">
        <v>45278</v>
      </c>
      <c r="E26">
        <v>1018.99</v>
      </c>
      <c r="F26">
        <v>23.9055</v>
      </c>
      <c r="G26">
        <v>23.727</v>
      </c>
    </row>
    <row r="27" spans="4:7" x14ac:dyDescent="0.25">
      <c r="D27" s="6">
        <v>45498</v>
      </c>
      <c r="E27">
        <v>1019.62</v>
      </c>
      <c r="F27">
        <v>24.090299999999999</v>
      </c>
      <c r="G27">
        <v>23.73</v>
      </c>
    </row>
    <row r="28" spans="4:7" x14ac:dyDescent="0.25">
      <c r="D28" s="6">
        <v>45637</v>
      </c>
      <c r="E28">
        <v>1009.97</v>
      </c>
      <c r="F28">
        <v>23.905999999999999</v>
      </c>
      <c r="G28">
        <v>23.9055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4A7E-BA8E-43E3-9CA2-FA7EC8F3CD27}">
  <dimension ref="A2:G13"/>
  <sheetViews>
    <sheetView workbookViewId="0">
      <selection activeCell="A13" sqref="A13"/>
    </sheetView>
  </sheetViews>
  <sheetFormatPr defaultRowHeight="15" x14ac:dyDescent="0.25"/>
  <sheetData>
    <row r="2" spans="1:7" x14ac:dyDescent="0.25">
      <c r="A2" t="s">
        <v>225</v>
      </c>
    </row>
    <row r="3" spans="1:7" x14ac:dyDescent="0.25">
      <c r="A3" t="s">
        <v>226</v>
      </c>
    </row>
    <row r="5" spans="1:7" x14ac:dyDescent="0.25">
      <c r="A5" t="s">
        <v>227</v>
      </c>
      <c r="E5" t="s">
        <v>228</v>
      </c>
    </row>
    <row r="6" spans="1:7" x14ac:dyDescent="0.25">
      <c r="B6" s="21">
        <v>5.8690000000000001E-4</v>
      </c>
      <c r="C6" t="s">
        <v>229</v>
      </c>
    </row>
    <row r="8" spans="1:7" x14ac:dyDescent="0.25">
      <c r="A8" t="s">
        <v>230</v>
      </c>
      <c r="G8" t="s">
        <v>231</v>
      </c>
    </row>
    <row r="11" spans="1:7" x14ac:dyDescent="0.25">
      <c r="A11" t="s">
        <v>232</v>
      </c>
    </row>
    <row r="13" spans="1:7" x14ac:dyDescent="0.25">
      <c r="A13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AH2700A2022-04-07</vt:lpstr>
      <vt:lpstr>AH2700A2022-04-11</vt:lpstr>
      <vt:lpstr>AH2700A2022-05-30</vt:lpstr>
      <vt:lpstr>AH2700A2022-05-31</vt:lpstr>
      <vt:lpstr>AH2700A2022-06-02</vt:lpstr>
      <vt:lpstr>AH2700A2022-06-20</vt:lpstr>
      <vt:lpstr>AH2700A2022-06-21WZP</vt:lpstr>
      <vt:lpstr>AH2700A2022-06-21</vt:lpstr>
      <vt:lpstr>AH2700A2022-07-04</vt:lpstr>
      <vt:lpstr>AH2700A2022-07-11</vt:lpstr>
      <vt:lpstr>AH2700A2022-07-25</vt:lpstr>
      <vt:lpstr>AH2700A2022-08-01</vt:lpstr>
      <vt:lpstr>AH2700A2022-09-23</vt:lpstr>
      <vt:lpstr>AH2700A2022-10-25</vt:lpstr>
      <vt:lpstr>AH2700A2022-11-11</vt:lpstr>
      <vt:lpstr>AH2700A2023-01-16</vt:lpstr>
      <vt:lpstr>AH2700A2023-3-28</vt:lpstr>
      <vt:lpstr>AH2700A2023-5-08</vt:lpstr>
      <vt:lpstr>AH2700A2023-5-16</vt:lpstr>
      <vt:lpstr>AH2700A2023-5-17</vt:lpstr>
      <vt:lpstr>AH2700A2023-5-23</vt:lpstr>
      <vt:lpstr>AH2700A2023-9-29</vt:lpstr>
      <vt:lpstr>AH2700A2023-10-02</vt:lpstr>
      <vt:lpstr>AH2700A2023-12-18</vt:lpstr>
      <vt:lpstr>AH2700A2024-7-25</vt:lpstr>
      <vt:lpstr>Sheet1</vt:lpstr>
      <vt:lpstr>Checks</vt:lpstr>
      <vt:lpstr>Summary</vt:lpstr>
      <vt:lpstr>Conditions</vt:lpstr>
      <vt:lpstr>KJ 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Keith Jones</dc:creator>
  <cp:keywords/>
  <dc:description/>
  <cp:lastModifiedBy>Keith Jones</cp:lastModifiedBy>
  <cp:revision/>
  <cp:lastPrinted>2024-12-09T01:01:19Z</cp:lastPrinted>
  <dcterms:created xsi:type="dcterms:W3CDTF">2022-04-07T20:37:35Z</dcterms:created>
  <dcterms:modified xsi:type="dcterms:W3CDTF">2024-12-12T01:25:23Z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0f3317-728b-413c-82e7-a8128c12a6dd_Enabled">
    <vt:lpwstr>true</vt:lpwstr>
  </property>
  <property fmtid="{D5CDD505-2E9C-101B-9397-08002B2CF9AE}" pid="3" name="MSIP_Label_fc0f3317-728b-413c-82e7-a8128c12a6dd_SetDate">
    <vt:lpwstr>2024-07-24T21:55:54Z</vt:lpwstr>
  </property>
  <property fmtid="{D5CDD505-2E9C-101B-9397-08002B2CF9AE}" pid="4" name="MSIP_Label_fc0f3317-728b-413c-82e7-a8128c12a6dd_Method">
    <vt:lpwstr>Standard</vt:lpwstr>
  </property>
  <property fmtid="{D5CDD505-2E9C-101B-9397-08002B2CF9AE}" pid="5" name="MSIP_Label_fc0f3317-728b-413c-82e7-a8128c12a6dd_Name">
    <vt:lpwstr>IN CONFIDENCE - GENERAL</vt:lpwstr>
  </property>
  <property fmtid="{D5CDD505-2E9C-101B-9397-08002B2CF9AE}" pid="6" name="MSIP_Label_fc0f3317-728b-413c-82e7-a8128c12a6dd_SiteId">
    <vt:lpwstr>ca6b2569-0949-4176-9e40-a0a96aea7b0a</vt:lpwstr>
  </property>
  <property fmtid="{D5CDD505-2E9C-101B-9397-08002B2CF9AE}" pid="7" name="MSIP_Label_fc0f3317-728b-413c-82e7-a8128c12a6dd_ActionId">
    <vt:lpwstr>17e1502e-2756-4db9-a1b3-b1a3dcc1997b</vt:lpwstr>
  </property>
  <property fmtid="{D5CDD505-2E9C-101B-9397-08002B2CF9AE}" pid="8" name="MSIP_Label_fc0f3317-728b-413c-82e7-a8128c12a6dd_ContentBits">
    <vt:lpwstr>0</vt:lpwstr>
  </property>
</Properties>
</file>